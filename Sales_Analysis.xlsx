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1.xml" ContentType="application/vnd.ms-excel.slicer+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slicers/slicer4.xml" ContentType="application/vnd.ms-excel.slicer+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Ex2.xml" ContentType="application/vnd.ms-office.chartex+xml"/>
  <Override PartName="/xl/charts/style10.xml" ContentType="application/vnd.ms-office.chartstyle+xml"/>
  <Override PartName="/xl/charts/colors1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2"/>
  <workbookPr hidePivotFieldList="1" defaultThemeVersion="124226"/>
  <mc:AlternateContent xmlns:mc="http://schemas.openxmlformats.org/markup-compatibility/2006">
    <mc:Choice Requires="x15">
      <x15ac:absPath xmlns:x15ac="http://schemas.microsoft.com/office/spreadsheetml/2010/11/ac" url="/Users/ashudhiman/Desktop/"/>
    </mc:Choice>
  </mc:AlternateContent>
  <xr:revisionPtr revIDLastSave="0" documentId="13_ncr:1_{382BD4C1-B864-1140-8803-1AC72025C1EE}" xr6:coauthVersionLast="47" xr6:coauthVersionMax="47" xr10:uidLastSave="{00000000-0000-0000-0000-000000000000}"/>
  <bookViews>
    <workbookView xWindow="0" yWindow="0" windowWidth="28800" windowHeight="18000" activeTab="5" xr2:uid="{00000000-000D-0000-FFFF-FFFF00000000}"/>
  </bookViews>
  <sheets>
    <sheet name="Raw Data" sheetId="1" r:id="rId1"/>
    <sheet name="Clean Data" sheetId="2" r:id="rId2"/>
    <sheet name="Calculation" sheetId="3" r:id="rId3"/>
    <sheet name="KPI_pivot" sheetId="19" r:id="rId4"/>
    <sheet name="pivot_dash" sheetId="17" r:id="rId5"/>
    <sheet name="Dashboard" sheetId="18" r:id="rId6"/>
  </sheets>
  <definedNames>
    <definedName name="_xlchart.v5.0" hidden="1">pivot_dash!$O$2</definedName>
    <definedName name="_xlchart.v5.1" hidden="1">pivot_dash!$O$3:$O$10</definedName>
    <definedName name="_xlchart.v5.10" hidden="1">pivot_dash!$O$3:$O$10</definedName>
    <definedName name="_xlchart.v5.11" hidden="1">pivot_dash!$P$2</definedName>
    <definedName name="_xlchart.v5.12" hidden="1">pivot_dash!$P$3:$P$10</definedName>
    <definedName name="_xlchart.v5.2" hidden="1">pivot_dash!$P$1</definedName>
    <definedName name="_xlchart.v5.3" hidden="1">pivot_dash!$P$2</definedName>
    <definedName name="_xlchart.v5.4" hidden="1">pivot_dash!$P$3:$P$10</definedName>
    <definedName name="_xlchart.v5.5" hidden="1">pivot_dash!$O$2</definedName>
    <definedName name="_xlchart.v5.6" hidden="1">pivot_dash!$O$3:$O$10</definedName>
    <definedName name="_xlchart.v5.7" hidden="1">pivot_dash!$P$2</definedName>
    <definedName name="_xlchart.v5.8" hidden="1">pivot_dash!$P$3:$P$10</definedName>
    <definedName name="_xlchart.v5.9" hidden="1">pivot_dash!$O$2</definedName>
    <definedName name="Slicer_Category">#N/A</definedName>
    <definedName name="Slicer_Column1">#N/A</definedName>
    <definedName name="Slicer_Month">#N/A</definedName>
    <definedName name="Slicer_Product">#N/A</definedName>
    <definedName name="Slicer_Region">#N/A</definedName>
  </definedNames>
  <calcPr calcId="191029"/>
  <pivotCaches>
    <pivotCache cacheId="0"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2"/>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3" i="2" l="1"/>
  <c r="I3" i="2" l="1"/>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2" i="2"/>
  <c r="K4" i="3" l="1"/>
  <c r="K5" i="3" s="1"/>
  <c r="K3" i="3"/>
  <c r="E5" i="3"/>
  <c r="B4" i="3"/>
  <c r="H5" i="2"/>
  <c r="H11" i="2"/>
  <c r="E8" i="3" s="1"/>
  <c r="H16" i="2"/>
  <c r="H21" i="2"/>
  <c r="H32" i="2"/>
  <c r="H35" i="2"/>
  <c r="H40" i="2"/>
  <c r="H42" i="2"/>
  <c r="H46" i="2"/>
  <c r="H51" i="2"/>
  <c r="H52" i="2"/>
  <c r="H54" i="2"/>
  <c r="H55" i="2"/>
  <c r="H57" i="2"/>
  <c r="H58" i="2"/>
  <c r="H59" i="2"/>
  <c r="H61" i="2"/>
  <c r="H62" i="2"/>
  <c r="H64" i="2"/>
  <c r="H65" i="2"/>
  <c r="H66" i="2"/>
  <c r="H67" i="2"/>
  <c r="H68" i="2"/>
  <c r="H71" i="2"/>
  <c r="H76" i="2"/>
  <c r="H78" i="2"/>
  <c r="H80" i="2"/>
  <c r="H81" i="2"/>
  <c r="H82" i="2"/>
  <c r="H88" i="2"/>
  <c r="H90" i="2"/>
  <c r="H91" i="2"/>
  <c r="H92" i="2"/>
  <c r="H94" i="2"/>
  <c r="H95" i="2"/>
  <c r="H96" i="2"/>
  <c r="H98" i="2"/>
  <c r="H101" i="2"/>
  <c r="H104" i="2"/>
  <c r="H106" i="2"/>
  <c r="H107" i="2"/>
  <c r="H108" i="2"/>
  <c r="H109" i="2"/>
  <c r="H113" i="2"/>
  <c r="H114" i="2"/>
  <c r="H115" i="2"/>
  <c r="H118" i="2"/>
  <c r="H119" i="2"/>
  <c r="H120" i="2"/>
  <c r="H121" i="2"/>
  <c r="H122" i="2"/>
  <c r="H123" i="2"/>
  <c r="H124" i="2"/>
  <c r="H125" i="2"/>
  <c r="H126" i="2"/>
  <c r="H127" i="2"/>
  <c r="H128" i="2"/>
  <c r="H131" i="2"/>
  <c r="H133" i="2"/>
  <c r="H134" i="2"/>
  <c r="H135" i="2"/>
  <c r="H137" i="2"/>
  <c r="H138" i="2"/>
  <c r="H139" i="2"/>
  <c r="H140" i="2"/>
  <c r="H4" i="2"/>
  <c r="H3" i="3" s="1"/>
  <c r="H6" i="2"/>
  <c r="B8" i="3" s="1"/>
  <c r="H7" i="2"/>
  <c r="H8" i="2"/>
  <c r="H16" i="3" s="1"/>
  <c r="H9" i="2"/>
  <c r="H7" i="3" s="1"/>
  <c r="H10" i="2"/>
  <c r="H6" i="3" s="1"/>
  <c r="H12" i="2"/>
  <c r="H13" i="2"/>
  <c r="E9" i="3" s="1"/>
  <c r="H14" i="2"/>
  <c r="H8" i="3" s="1"/>
  <c r="H15" i="2"/>
  <c r="H5" i="3" s="1"/>
  <c r="H17" i="2"/>
  <c r="H18" i="2"/>
  <c r="H4" i="3" s="1"/>
  <c r="H19" i="2"/>
  <c r="H10" i="3" s="1"/>
  <c r="H20" i="2"/>
  <c r="H22" i="2"/>
  <c r="H23" i="2"/>
  <c r="E3" i="3" s="1"/>
  <c r="H24" i="2"/>
  <c r="H9" i="3" s="1"/>
  <c r="H25" i="2"/>
  <c r="H26" i="2"/>
  <c r="H27" i="2"/>
  <c r="H28" i="2"/>
  <c r="H14" i="3" s="1"/>
  <c r="H29" i="2"/>
  <c r="H11" i="3" s="1"/>
  <c r="H30" i="2"/>
  <c r="H31" i="2"/>
  <c r="H33" i="2"/>
  <c r="H34" i="2"/>
  <c r="E10" i="3" s="1"/>
  <c r="H36" i="2"/>
  <c r="H37" i="2"/>
  <c r="H38" i="2"/>
  <c r="H12" i="3" s="1"/>
  <c r="H39" i="2"/>
  <c r="H41" i="2"/>
  <c r="H43" i="2"/>
  <c r="H44" i="2"/>
  <c r="H45" i="2"/>
  <c r="H47" i="2"/>
  <c r="H48" i="2"/>
  <c r="H49" i="2"/>
  <c r="H50" i="2"/>
  <c r="H53" i="2"/>
  <c r="H56" i="2"/>
  <c r="H60" i="2"/>
  <c r="H63" i="2"/>
  <c r="H69" i="2"/>
  <c r="H70" i="2"/>
  <c r="H72" i="2"/>
  <c r="H73" i="2"/>
  <c r="H74" i="2"/>
  <c r="H75" i="2"/>
  <c r="H77" i="2"/>
  <c r="H79" i="2"/>
  <c r="H83" i="2"/>
  <c r="H84" i="2"/>
  <c r="H85" i="2"/>
  <c r="H86" i="2"/>
  <c r="H87" i="2"/>
  <c r="H89" i="2"/>
  <c r="H93" i="2"/>
  <c r="H97" i="2"/>
  <c r="H99" i="2"/>
  <c r="H100" i="2"/>
  <c r="H102" i="2"/>
  <c r="H103" i="2"/>
  <c r="H105" i="2"/>
  <c r="H110" i="2"/>
  <c r="H111" i="2"/>
  <c r="H112" i="2"/>
  <c r="H116" i="2"/>
  <c r="H117" i="2"/>
  <c r="H129" i="2"/>
  <c r="H130" i="2"/>
  <c r="H132" i="2"/>
  <c r="H136" i="2"/>
  <c r="H141" i="2"/>
  <c r="H2" i="2"/>
  <c r="B2" i="3" s="1"/>
  <c r="B13" i="3" s="1"/>
  <c r="E7" i="3" l="1"/>
  <c r="B3" i="3"/>
  <c r="E6" i="3"/>
  <c r="H13" i="3"/>
  <c r="H17" i="3" s="1"/>
  <c r="B5" i="3"/>
  <c r="E4" i="3"/>
  <c r="E11" i="3" s="1"/>
  <c r="H15" i="3"/>
  <c r="B6" i="3"/>
  <c r="B7" i="3"/>
</calcChain>
</file>

<file path=xl/sharedStrings.xml><?xml version="1.0" encoding="utf-8"?>
<sst xmlns="http://schemas.openxmlformats.org/spreadsheetml/2006/main" count="1405" uniqueCount="386">
  <si>
    <t>Date</t>
  </si>
  <si>
    <t>First Name</t>
  </si>
  <si>
    <t>Last Name</t>
  </si>
  <si>
    <t>Product</t>
  </si>
  <si>
    <t>Category</t>
  </si>
  <si>
    <t>Region</t>
  </si>
  <si>
    <t>Units Sold</t>
  </si>
  <si>
    <t>Unit Price (₹)</t>
  </si>
  <si>
    <t>Total Sales (₹)</t>
  </si>
  <si>
    <t>neha</t>
  </si>
  <si>
    <t>VERMA</t>
  </si>
  <si>
    <t>STEEL TABLE</t>
  </si>
  <si>
    <t>Metal</t>
  </si>
  <si>
    <t>gujarat</t>
  </si>
  <si>
    <t>PRIYA</t>
  </si>
  <si>
    <t>joshi</t>
  </si>
  <si>
    <t>Bed Frame</t>
  </si>
  <si>
    <t xml:space="preserve">Furniture  </t>
  </si>
  <si>
    <t xml:space="preserve">Maharashtra  </t>
  </si>
  <si>
    <t>Priya</t>
  </si>
  <si>
    <t xml:space="preserve">KUMAR  </t>
  </si>
  <si>
    <t>Aluminium frame</t>
  </si>
  <si>
    <t>Delhi</t>
  </si>
  <si>
    <t>NEHA</t>
  </si>
  <si>
    <t>Verma</t>
  </si>
  <si>
    <t xml:space="preserve"> Steel table </t>
  </si>
  <si>
    <t xml:space="preserve"> metal </t>
  </si>
  <si>
    <t>maharashtra</t>
  </si>
  <si>
    <t xml:space="preserve"> priya </t>
  </si>
  <si>
    <t xml:space="preserve"> Singh </t>
  </si>
  <si>
    <t xml:space="preserve"> Wardrobe </t>
  </si>
  <si>
    <t>Furniture</t>
  </si>
  <si>
    <t xml:space="preserve"> tamil nadu </t>
  </si>
  <si>
    <t>Anil</t>
  </si>
  <si>
    <t xml:space="preserve"> SINGH </t>
  </si>
  <si>
    <t xml:space="preserve">Iron Rack  </t>
  </si>
  <si>
    <t xml:space="preserve"> Gujarat </t>
  </si>
  <si>
    <t>amit</t>
  </si>
  <si>
    <t xml:space="preserve"> Patel </t>
  </si>
  <si>
    <t>WOODEN CHAIR</t>
  </si>
  <si>
    <t>furniture</t>
  </si>
  <si>
    <t>Gujarat</t>
  </si>
  <si>
    <t>Patel</t>
  </si>
  <si>
    <t>COPPER SHELF</t>
  </si>
  <si>
    <t>METAL</t>
  </si>
  <si>
    <t xml:space="preserve"> Tamil Nadu </t>
  </si>
  <si>
    <t xml:space="preserve"> Sneha </t>
  </si>
  <si>
    <t>Joshi</t>
  </si>
  <si>
    <t>coffee table</t>
  </si>
  <si>
    <t>ANIL</t>
  </si>
  <si>
    <t>singh</t>
  </si>
  <si>
    <t xml:space="preserve"> sofa set </t>
  </si>
  <si>
    <t xml:space="preserve"> Punjab </t>
  </si>
  <si>
    <t>Sneha</t>
  </si>
  <si>
    <t xml:space="preserve"> Thakur </t>
  </si>
  <si>
    <t>sofa set</t>
  </si>
  <si>
    <t>FURNITURE</t>
  </si>
  <si>
    <t>RAJASTHAN</t>
  </si>
  <si>
    <t>vikas</t>
  </si>
  <si>
    <t xml:space="preserve"> Sharma </t>
  </si>
  <si>
    <t xml:space="preserve">ALUMINIUM FRAME  </t>
  </si>
  <si>
    <t>West bengal</t>
  </si>
  <si>
    <t>rahul</t>
  </si>
  <si>
    <t>patel</t>
  </si>
  <si>
    <t xml:space="preserve"> DINING TABLE </t>
  </si>
  <si>
    <t>Kumar</t>
  </si>
  <si>
    <t>bookshelf</t>
  </si>
  <si>
    <t>punjab</t>
  </si>
  <si>
    <t>Dining table</t>
  </si>
  <si>
    <t>GUJARAT</t>
  </si>
  <si>
    <t xml:space="preserve"> RAVI </t>
  </si>
  <si>
    <t xml:space="preserve"> kumar </t>
  </si>
  <si>
    <t>TV UNIT</t>
  </si>
  <si>
    <t xml:space="preserve"> Furniture </t>
  </si>
  <si>
    <t>Tamil nadu</t>
  </si>
  <si>
    <t xml:space="preserve"> MEENA </t>
  </si>
  <si>
    <t xml:space="preserve"> MEHTA </t>
  </si>
  <si>
    <t xml:space="preserve"> BED FRAME </t>
  </si>
  <si>
    <t xml:space="preserve"> FURNITURE </t>
  </si>
  <si>
    <t>Yadav</t>
  </si>
  <si>
    <t>Iron Rack</t>
  </si>
  <si>
    <t>metal</t>
  </si>
  <si>
    <t xml:space="preserve"> Neha </t>
  </si>
  <si>
    <t xml:space="preserve"> Yadav </t>
  </si>
  <si>
    <t xml:space="preserve"> Coffee Table </t>
  </si>
  <si>
    <t>DELHI</t>
  </si>
  <si>
    <t xml:space="preserve"> Priya </t>
  </si>
  <si>
    <t xml:space="preserve"> Joshi </t>
  </si>
  <si>
    <t>Copper Shelf</t>
  </si>
  <si>
    <t>tamil nadu</t>
  </si>
  <si>
    <t>Ravi</t>
  </si>
  <si>
    <t>sharma</t>
  </si>
  <si>
    <t xml:space="preserve"> Dining table </t>
  </si>
  <si>
    <t xml:space="preserve">punjab  </t>
  </si>
  <si>
    <t xml:space="preserve"> NEHA </t>
  </si>
  <si>
    <t xml:space="preserve"> thakur </t>
  </si>
  <si>
    <t>Steel table</t>
  </si>
  <si>
    <t>karnataka</t>
  </si>
  <si>
    <t>reddy</t>
  </si>
  <si>
    <t>Iron Bed</t>
  </si>
  <si>
    <t>Rahul</t>
  </si>
  <si>
    <t xml:space="preserve"> furniture </t>
  </si>
  <si>
    <t>Karnataka</t>
  </si>
  <si>
    <t>priya</t>
  </si>
  <si>
    <t xml:space="preserve"> mehta </t>
  </si>
  <si>
    <t xml:space="preserve"> IRON BED </t>
  </si>
  <si>
    <t>West Bengal</t>
  </si>
  <si>
    <t>sneha</t>
  </si>
  <si>
    <t xml:space="preserve">PATEL  </t>
  </si>
  <si>
    <t xml:space="preserve"> wardrobe </t>
  </si>
  <si>
    <t>Maharashtra</t>
  </si>
  <si>
    <t>Pooja</t>
  </si>
  <si>
    <t xml:space="preserve"> REDDY </t>
  </si>
  <si>
    <t>Tv unit</t>
  </si>
  <si>
    <t xml:space="preserve">Tamil Nadu  </t>
  </si>
  <si>
    <t>Sharma</t>
  </si>
  <si>
    <t xml:space="preserve"> Metal Chair </t>
  </si>
  <si>
    <t xml:space="preserve"> gujarat </t>
  </si>
  <si>
    <t xml:space="preserve"> amit </t>
  </si>
  <si>
    <t>SHARMA</t>
  </si>
  <si>
    <t>ALUMINIUM FRAME</t>
  </si>
  <si>
    <t>Thakur</t>
  </si>
  <si>
    <t>Dining Table</t>
  </si>
  <si>
    <t>Amit</t>
  </si>
  <si>
    <t>PATEL</t>
  </si>
  <si>
    <t>Bookshelf</t>
  </si>
  <si>
    <t>Reddy</t>
  </si>
  <si>
    <t xml:space="preserve"> copper shelf </t>
  </si>
  <si>
    <t xml:space="preserve">Amit  </t>
  </si>
  <si>
    <t>IRON RACK</t>
  </si>
  <si>
    <t xml:space="preserve"> rajasthan </t>
  </si>
  <si>
    <t>Neha</t>
  </si>
  <si>
    <t>verma</t>
  </si>
  <si>
    <t xml:space="preserve">iron bed  </t>
  </si>
  <si>
    <t>yadav</t>
  </si>
  <si>
    <t>AMIT</t>
  </si>
  <si>
    <t>Mehta</t>
  </si>
  <si>
    <t xml:space="preserve"> sharma </t>
  </si>
  <si>
    <t>Meena</t>
  </si>
  <si>
    <t>Singh</t>
  </si>
  <si>
    <t xml:space="preserve"> tv unit </t>
  </si>
  <si>
    <t xml:space="preserve"> YADAV </t>
  </si>
  <si>
    <t>Coffee table</t>
  </si>
  <si>
    <t>Wardrobe</t>
  </si>
  <si>
    <t>REDDY</t>
  </si>
  <si>
    <t>steel table</t>
  </si>
  <si>
    <t xml:space="preserve"> West Bengal </t>
  </si>
  <si>
    <t>METAL CHAIR</t>
  </si>
  <si>
    <t xml:space="preserve"> RAJASTHAN </t>
  </si>
  <si>
    <t xml:space="preserve">patel  </t>
  </si>
  <si>
    <t>MEENA</t>
  </si>
  <si>
    <t xml:space="preserve"> Steel Table </t>
  </si>
  <si>
    <t xml:space="preserve"> JOSHI </t>
  </si>
  <si>
    <t>Iron bed</t>
  </si>
  <si>
    <t>Metal chair</t>
  </si>
  <si>
    <t xml:space="preserve"> steel table </t>
  </si>
  <si>
    <t xml:space="preserve"> Reddy </t>
  </si>
  <si>
    <t xml:space="preserve">Bed frame  </t>
  </si>
  <si>
    <t xml:space="preserve"> punjab </t>
  </si>
  <si>
    <t>SNEHA</t>
  </si>
  <si>
    <t xml:space="preserve"> verma </t>
  </si>
  <si>
    <t xml:space="preserve">METAL  </t>
  </si>
  <si>
    <t>YADAV</t>
  </si>
  <si>
    <t xml:space="preserve"> West bengal </t>
  </si>
  <si>
    <t xml:space="preserve">Metal Chair  </t>
  </si>
  <si>
    <t>Tamil Nadu</t>
  </si>
  <si>
    <t xml:space="preserve"> Pooja </t>
  </si>
  <si>
    <t xml:space="preserve"> Copper shelf </t>
  </si>
  <si>
    <t xml:space="preserve"> DELHI </t>
  </si>
  <si>
    <t>Vikas</t>
  </si>
  <si>
    <t xml:space="preserve"> patel </t>
  </si>
  <si>
    <t xml:space="preserve">Singh  </t>
  </si>
  <si>
    <t>rajasthan</t>
  </si>
  <si>
    <t xml:space="preserve"> Tv Unit </t>
  </si>
  <si>
    <t xml:space="preserve"> pooja </t>
  </si>
  <si>
    <t xml:space="preserve">Reddy  </t>
  </si>
  <si>
    <t xml:space="preserve"> WOODEN CHAIR </t>
  </si>
  <si>
    <t>RAHUL</t>
  </si>
  <si>
    <t>iron rack</t>
  </si>
  <si>
    <t xml:space="preserve"> Metal </t>
  </si>
  <si>
    <t>meena</t>
  </si>
  <si>
    <t xml:space="preserve"> Iron rack </t>
  </si>
  <si>
    <t>Punjab</t>
  </si>
  <si>
    <t xml:space="preserve"> METAL </t>
  </si>
  <si>
    <t>west bengal</t>
  </si>
  <si>
    <t xml:space="preserve">Vikas  </t>
  </si>
  <si>
    <t xml:space="preserve"> Maharashtra </t>
  </si>
  <si>
    <t>ravi</t>
  </si>
  <si>
    <t xml:space="preserve">copper shelf  </t>
  </si>
  <si>
    <t>WEST BENGAL</t>
  </si>
  <si>
    <t>SINGH</t>
  </si>
  <si>
    <t>Aluminium Frame</t>
  </si>
  <si>
    <t xml:space="preserve"> Anil </t>
  </si>
  <si>
    <t>TAMIL NADU</t>
  </si>
  <si>
    <t xml:space="preserve"> Vikas </t>
  </si>
  <si>
    <t>tv unit</t>
  </si>
  <si>
    <t>THAKUR</t>
  </si>
  <si>
    <t>Tv Unit</t>
  </si>
  <si>
    <t>BED FRAME</t>
  </si>
  <si>
    <t>PUNJAB</t>
  </si>
  <si>
    <t xml:space="preserve"> VIKAS </t>
  </si>
  <si>
    <t xml:space="preserve"> maharashtra </t>
  </si>
  <si>
    <t xml:space="preserve"> Amit </t>
  </si>
  <si>
    <t xml:space="preserve">kumar  </t>
  </si>
  <si>
    <t xml:space="preserve"> BOOKSHELF </t>
  </si>
  <si>
    <t>Rajasthan</t>
  </si>
  <si>
    <t xml:space="preserve"> Verma </t>
  </si>
  <si>
    <t>Iron rack</t>
  </si>
  <si>
    <t>wardrobe</t>
  </si>
  <si>
    <t xml:space="preserve"> wooden chair </t>
  </si>
  <si>
    <t xml:space="preserve"> PRIYA </t>
  </si>
  <si>
    <t xml:space="preserve">metal  </t>
  </si>
  <si>
    <t>pooja</t>
  </si>
  <si>
    <t xml:space="preserve"> bookshelf </t>
  </si>
  <si>
    <t xml:space="preserve">TAMIL NADU  </t>
  </si>
  <si>
    <t>IRON BED</t>
  </si>
  <si>
    <t xml:space="preserve"> TAMIL NADU </t>
  </si>
  <si>
    <t>MEHTA</t>
  </si>
  <si>
    <t>Sofa set</t>
  </si>
  <si>
    <t xml:space="preserve">SINGH  </t>
  </si>
  <si>
    <t>Metal Chair</t>
  </si>
  <si>
    <t xml:space="preserve">priya  </t>
  </si>
  <si>
    <t>Bed frame</t>
  </si>
  <si>
    <t xml:space="preserve">furniture  </t>
  </si>
  <si>
    <t xml:space="preserve"> SNEHA </t>
  </si>
  <si>
    <t xml:space="preserve">Sharma  </t>
  </si>
  <si>
    <t xml:space="preserve"> iron bed </t>
  </si>
  <si>
    <t xml:space="preserve"> Aluminium frame </t>
  </si>
  <si>
    <t xml:space="preserve"> Copper Shelf </t>
  </si>
  <si>
    <t>Steel Table</t>
  </si>
  <si>
    <t xml:space="preserve">mehta  </t>
  </si>
  <si>
    <t>iron bed</t>
  </si>
  <si>
    <t xml:space="preserve"> Delhi </t>
  </si>
  <si>
    <t xml:space="preserve"> ravi </t>
  </si>
  <si>
    <t xml:space="preserve"> Mehta </t>
  </si>
  <si>
    <t xml:space="preserve"> STEEL TABLE </t>
  </si>
  <si>
    <t xml:space="preserve"> ALUMINIUM FRAME </t>
  </si>
  <si>
    <t xml:space="preserve">Ravi  </t>
  </si>
  <si>
    <t xml:space="preserve"> delhi </t>
  </si>
  <si>
    <t xml:space="preserve"> yadav </t>
  </si>
  <si>
    <t xml:space="preserve"> Karnataka </t>
  </si>
  <si>
    <t>metal chair</t>
  </si>
  <si>
    <t>anil</t>
  </si>
  <si>
    <t xml:space="preserve">Aluminium frame  </t>
  </si>
  <si>
    <t xml:space="preserve"> joshi </t>
  </si>
  <si>
    <t xml:space="preserve">METAL CHAIR  </t>
  </si>
  <si>
    <t>VIKAS</t>
  </si>
  <si>
    <t>Coffee Table</t>
  </si>
  <si>
    <t xml:space="preserve"> west bengal </t>
  </si>
  <si>
    <t xml:space="preserve"> WEST BENGAL </t>
  </si>
  <si>
    <t xml:space="preserve">Pooja  </t>
  </si>
  <si>
    <t xml:space="preserve"> WARDROBE </t>
  </si>
  <si>
    <t xml:space="preserve">FURNITURE  </t>
  </si>
  <si>
    <t xml:space="preserve"> Rahul </t>
  </si>
  <si>
    <t>Wooden Chair</t>
  </si>
  <si>
    <t xml:space="preserve"> Metal chair </t>
  </si>
  <si>
    <t xml:space="preserve"> SHARMA </t>
  </si>
  <si>
    <t xml:space="preserve"> Kumar </t>
  </si>
  <si>
    <t xml:space="preserve"> MAHARASHTRA </t>
  </si>
  <si>
    <t>bed frame</t>
  </si>
  <si>
    <t xml:space="preserve">Punjab  </t>
  </si>
  <si>
    <t xml:space="preserve">WEST BENGAL  </t>
  </si>
  <si>
    <t xml:space="preserve"> anil </t>
  </si>
  <si>
    <t>kumar</t>
  </si>
  <si>
    <t>Sofa Set</t>
  </si>
  <si>
    <t>POOJA</t>
  </si>
  <si>
    <t>COFFEE TABLE</t>
  </si>
  <si>
    <t>MAHARASHTRA</t>
  </si>
  <si>
    <t xml:space="preserve">Coffee table  </t>
  </si>
  <si>
    <t xml:space="preserve">Coffee Table  </t>
  </si>
  <si>
    <t xml:space="preserve"> Meena </t>
  </si>
  <si>
    <t xml:space="preserve"> PUNJAB </t>
  </si>
  <si>
    <t xml:space="preserve">DINING TABLE  </t>
  </si>
  <si>
    <t>Name</t>
  </si>
  <si>
    <t>Neha Verma</t>
  </si>
  <si>
    <t>Priya Joshi</t>
  </si>
  <si>
    <t>Priya Kumar</t>
  </si>
  <si>
    <t>Priya Singh</t>
  </si>
  <si>
    <t>Anil Singh</t>
  </si>
  <si>
    <t>Amit Patel</t>
  </si>
  <si>
    <t>Anil Patel</t>
  </si>
  <si>
    <t>Sneha Joshi</t>
  </si>
  <si>
    <t>Sneha Thakur</t>
  </si>
  <si>
    <t>Vikas Sharma</t>
  </si>
  <si>
    <t>Rahul Patel</t>
  </si>
  <si>
    <t>Sneha Kumar</t>
  </si>
  <si>
    <t>Ravi Kumar</t>
  </si>
  <si>
    <t>Meena Mehta</t>
  </si>
  <si>
    <t>Sneha Yadav</t>
  </si>
  <si>
    <t>Neha Yadav</t>
  </si>
  <si>
    <t>Ravi Sharma</t>
  </si>
  <si>
    <t>Neha Thakur</t>
  </si>
  <si>
    <t>Haryana</t>
  </si>
  <si>
    <t>Ravi Reddy</t>
  </si>
  <si>
    <t>Rahul Sharma</t>
  </si>
  <si>
    <t>Priya Mehta</t>
  </si>
  <si>
    <t>Sneha Patel</t>
  </si>
  <si>
    <t>Pooja Reddy</t>
  </si>
  <si>
    <t>Neha Sharma</t>
  </si>
  <si>
    <t>Amit Sharma</t>
  </si>
  <si>
    <t>Anil Thakur</t>
  </si>
  <si>
    <t>Priya Reddy</t>
  </si>
  <si>
    <t>Amit Verma</t>
  </si>
  <si>
    <t>Priya Yadav</t>
  </si>
  <si>
    <t>Amit Mehta</t>
  </si>
  <si>
    <t>Sneha Sharma</t>
  </si>
  <si>
    <t>Meena Singh</t>
  </si>
  <si>
    <t>Neha Patel</t>
  </si>
  <si>
    <t>Rahul Yadav</t>
  </si>
  <si>
    <t>Vikas Patel</t>
  </si>
  <si>
    <t>Meena Thakur</t>
  </si>
  <si>
    <t>Pooja Thakur</t>
  </si>
  <si>
    <t>Priya Patel</t>
  </si>
  <si>
    <t>Sneha Reddy</t>
  </si>
  <si>
    <t>Sneha Verma</t>
  </si>
  <si>
    <t>Pooja Sharma</t>
  </si>
  <si>
    <t>Rahul Singh</t>
  </si>
  <si>
    <t>Meena Reddy</t>
  </si>
  <si>
    <t>Anil Joshi</t>
  </si>
  <si>
    <t>Ravi Singh</t>
  </si>
  <si>
    <t>Anil Sharma</t>
  </si>
  <si>
    <t>Amit Thakur</t>
  </si>
  <si>
    <t>Priya Verma</t>
  </si>
  <si>
    <t>Vikas Yadav</t>
  </si>
  <si>
    <t>Amit Kumar</t>
  </si>
  <si>
    <t>Neha Joshi</t>
  </si>
  <si>
    <t>Anil Reddy</t>
  </si>
  <si>
    <t>Vikas Singh</t>
  </si>
  <si>
    <t>Pooja Patel</t>
  </si>
  <si>
    <t>Meena Yadav</t>
  </si>
  <si>
    <t>Sneha Singh</t>
  </si>
  <si>
    <t>Rahul Mehta</t>
  </si>
  <si>
    <t>Neha Mehta</t>
  </si>
  <si>
    <t>Vikas Mehta</t>
  </si>
  <si>
    <t>Ravi Mehta</t>
  </si>
  <si>
    <t>Rahul Thakur</t>
  </si>
  <si>
    <t>Ravi Joshi</t>
  </si>
  <si>
    <t>Amit Joshi</t>
  </si>
  <si>
    <t>Pooja Yadav</t>
  </si>
  <si>
    <t>Pooja Verma</t>
  </si>
  <si>
    <t>Vikas Joshi</t>
  </si>
  <si>
    <t>Amit Reddy</t>
  </si>
  <si>
    <t>Anil Yadav</t>
  </si>
  <si>
    <t>Pooja Mehta</t>
  </si>
  <si>
    <t>Rahul Verma</t>
  </si>
  <si>
    <t>Priya Thakur</t>
  </si>
  <si>
    <t>Anil Kumar</t>
  </si>
  <si>
    <t>Pooja Joshi</t>
  </si>
  <si>
    <t>Meena Sharma</t>
  </si>
  <si>
    <t>Meena Kumar</t>
  </si>
  <si>
    <t>Summary</t>
  </si>
  <si>
    <t>Total</t>
  </si>
  <si>
    <t>Sales By Region</t>
  </si>
  <si>
    <t>Sales by Product </t>
  </si>
  <si>
    <t xml:space="preserve">Average Unit Price per Category </t>
  </si>
  <si>
    <t>Total Sales</t>
  </si>
  <si>
    <t>Average Per Order</t>
  </si>
  <si>
    <t>Total Units Sold </t>
  </si>
  <si>
    <t>Maximum Sale</t>
  </si>
  <si>
    <t>Minimum Sale</t>
  </si>
  <si>
    <t>Sales by Metal</t>
  </si>
  <si>
    <t>Sales by Furniture</t>
  </si>
  <si>
    <t>Profits(20% of sale)</t>
  </si>
  <si>
    <t>Grand Total</t>
  </si>
  <si>
    <t>Sum of Total Sales (₹)</t>
  </si>
  <si>
    <t>Row Labels</t>
  </si>
  <si>
    <t>Month</t>
  </si>
  <si>
    <t>Sum of Units Sold</t>
  </si>
  <si>
    <t>Average of Total Sales (₹)</t>
  </si>
  <si>
    <t>Max of Total Sales (₹)</t>
  </si>
  <si>
    <t>Min of Total Sales (₹)</t>
  </si>
  <si>
    <t>Count of Name</t>
  </si>
  <si>
    <t>March</t>
  </si>
  <si>
    <t>January</t>
  </si>
  <si>
    <t>February</t>
  </si>
  <si>
    <t>April</t>
  </si>
  <si>
    <t>May</t>
  </si>
  <si>
    <t>June</t>
  </si>
  <si>
    <t>July</t>
  </si>
  <si>
    <t>August</t>
  </si>
  <si>
    <t>September</t>
  </si>
  <si>
    <t>October</t>
  </si>
  <si>
    <t>November</t>
  </si>
  <si>
    <t>December</t>
  </si>
  <si>
    <t>Column1</t>
  </si>
  <si>
    <t>Column2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</si>
</sst>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4" formatCode="_(&quot;₹&quot;* #,##0.00_);_(&quot;₹&quot;* \(#,##0.00\);_(&quot;₹&quot;* &quot;-&quot;??_);_(@_)"/>
    <numFmt numFmtId="164" formatCode="yyyy\-mm\-dd\ hh:mm:ss"/>
    <numFmt numFmtId="165" formatCode="[$-409]d\-mmm\-yyyy;@"/>
    <numFmt numFmtId="166" formatCode="_ [$₹-439]* #,##0.00_ ;_ [$₹-439]* \-#,##0.00_ ;_ [$₹-439]* &quot;-&quot;??_ ;_ @_ "/>
    <numFmt numFmtId="167" formatCode="_ [$₹-439]* #,##0.0_ ;_ [$₹-439]* \-#,##0.0_ ;_ [$₹-439]* &quot;-&quot;?_ ;_ @_ "/>
  </numFmts>
  <fonts count="5" x14ac:knownFonts="1">
    <font>
      <sz val="11"/>
      <color theme="1"/>
      <name val="Calibri"/>
      <family val="2"/>
      <scheme val="minor"/>
    </font>
    <font>
      <b/>
      <sz val="11"/>
      <color theme="1"/>
      <name val="Calibri"/>
      <family val="2"/>
      <scheme val="minor"/>
    </font>
    <font>
      <sz val="11"/>
      <color rgb="FF000000"/>
      <name val="Calibri"/>
      <family val="2"/>
      <scheme val="minor"/>
    </font>
    <font>
      <sz val="11"/>
      <color rgb="FF000000"/>
      <name val="Calibri"/>
      <family val="2"/>
    </font>
    <font>
      <b/>
      <sz val="11"/>
      <color rgb="FF000000"/>
      <name val="Calibri"/>
      <family val="2"/>
      <scheme val="minor"/>
    </font>
  </fonts>
  <fills count="10">
    <fill>
      <patternFill patternType="none"/>
    </fill>
    <fill>
      <patternFill patternType="gray125"/>
    </fill>
    <fill>
      <patternFill patternType="solid">
        <fgColor theme="9" tint="0.39997558519241921"/>
        <bgColor indexed="64"/>
      </patternFill>
    </fill>
    <fill>
      <patternFill patternType="solid">
        <fgColor rgb="FF00B050"/>
        <bgColor indexed="64"/>
      </patternFill>
    </fill>
    <fill>
      <patternFill patternType="solid">
        <fgColor rgb="FF00B0F0"/>
        <bgColor indexed="64"/>
      </patternFill>
    </fill>
    <fill>
      <patternFill patternType="solid">
        <fgColor theme="9" tint="-0.249977111117893"/>
        <bgColor indexed="64"/>
      </patternFill>
    </fill>
    <fill>
      <patternFill patternType="solid">
        <fgColor theme="0"/>
        <bgColor indexed="64"/>
      </patternFill>
    </fill>
    <fill>
      <patternFill patternType="solid">
        <fgColor theme="8" tint="0.39997558519241921"/>
        <bgColor indexed="64"/>
      </patternFill>
    </fill>
    <fill>
      <patternFill patternType="solid">
        <fgColor rgb="FF92D050"/>
        <bgColor indexed="64"/>
      </patternFill>
    </fill>
    <fill>
      <patternFill patternType="solid">
        <fgColor theme="0" tint="-0.14999847407452621"/>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auto="1"/>
      </left>
      <right style="thin">
        <color auto="1"/>
      </right>
      <top/>
      <bottom/>
      <diagonal/>
    </border>
  </borders>
  <cellStyleXfs count="1">
    <xf numFmtId="0" fontId="0" fillId="0" borderId="0"/>
  </cellStyleXfs>
  <cellXfs count="40">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xf numFmtId="0" fontId="1" fillId="2" borderId="1" xfId="0" applyFont="1" applyFill="1" applyBorder="1" applyAlignment="1">
      <alignment horizontal="center" vertical="top"/>
    </xf>
    <xf numFmtId="0" fontId="2" fillId="0" borderId="0" xfId="0" applyFont="1"/>
    <xf numFmtId="166" fontId="0" fillId="0" borderId="0" xfId="0" applyNumberFormat="1"/>
    <xf numFmtId="0" fontId="1" fillId="3" borderId="2" xfId="0" applyFont="1" applyFill="1" applyBorder="1"/>
    <xf numFmtId="0" fontId="0" fillId="0" borderId="2" xfId="0" applyBorder="1"/>
    <xf numFmtId="0" fontId="1" fillId="5" borderId="2" xfId="0" applyFont="1" applyFill="1" applyBorder="1"/>
    <xf numFmtId="0" fontId="3" fillId="0" borderId="2" xfId="0" applyFont="1" applyBorder="1"/>
    <xf numFmtId="0" fontId="1" fillId="2" borderId="2" xfId="0" applyFont="1" applyFill="1" applyBorder="1"/>
    <xf numFmtId="0" fontId="4" fillId="6" borderId="0" xfId="0" applyFont="1" applyFill="1" applyAlignment="1">
      <alignment vertical="center"/>
    </xf>
    <xf numFmtId="0" fontId="0" fillId="6" borderId="0" xfId="0" applyFill="1"/>
    <xf numFmtId="0" fontId="1" fillId="4" borderId="2" xfId="0" applyFont="1" applyFill="1" applyBorder="1" applyAlignment="1">
      <alignment horizontal="center" vertical="center"/>
    </xf>
    <xf numFmtId="167" fontId="0" fillId="0" borderId="2" xfId="0" applyNumberFormat="1" applyBorder="1" applyAlignment="1">
      <alignment horizontal="right"/>
    </xf>
    <xf numFmtId="167" fontId="0" fillId="0" borderId="2" xfId="0" applyNumberFormat="1" applyBorder="1" applyAlignment="1">
      <alignment horizontal="right" vertical="center"/>
    </xf>
    <xf numFmtId="166" fontId="0" fillId="0" borderId="2" xfId="0" applyNumberFormat="1" applyBorder="1" applyAlignment="1">
      <alignment horizontal="right" vertical="center"/>
    </xf>
    <xf numFmtId="167" fontId="0" fillId="0" borderId="2" xfId="0" applyNumberFormat="1" applyBorder="1" applyAlignment="1">
      <alignment horizontal="right" wrapText="1"/>
    </xf>
    <xf numFmtId="0" fontId="3" fillId="0" borderId="3" xfId="0" applyFont="1" applyBorder="1"/>
    <xf numFmtId="166" fontId="0" fillId="0" borderId="3" xfId="0" applyNumberFormat="1" applyBorder="1" applyAlignment="1">
      <alignment horizontal="right" vertical="center"/>
    </xf>
    <xf numFmtId="0" fontId="0" fillId="0" borderId="3" xfId="0" applyBorder="1"/>
    <xf numFmtId="167" fontId="0" fillId="0" borderId="3" xfId="0" applyNumberFormat="1" applyBorder="1" applyAlignment="1">
      <alignment horizontal="right"/>
    </xf>
    <xf numFmtId="167" fontId="0" fillId="0" borderId="2" xfId="0" applyNumberFormat="1" applyBorder="1"/>
    <xf numFmtId="0" fontId="1" fillId="0" borderId="2" xfId="0" applyFont="1" applyBorder="1"/>
    <xf numFmtId="167" fontId="1" fillId="0" borderId="2" xfId="0" applyNumberFormat="1" applyFont="1" applyBorder="1" applyAlignment="1">
      <alignment horizontal="right"/>
    </xf>
    <xf numFmtId="0" fontId="0" fillId="0" borderId="0" xfId="0" pivotButton="1"/>
    <xf numFmtId="0" fontId="0" fillId="0" borderId="0" xfId="0" applyAlignment="1">
      <alignment horizontal="left"/>
    </xf>
    <xf numFmtId="0" fontId="0" fillId="9" borderId="0" xfId="0" applyFill="1"/>
    <xf numFmtId="0" fontId="1" fillId="2" borderId="4" xfId="0" applyFont="1" applyFill="1" applyBorder="1" applyAlignment="1">
      <alignment horizontal="center" vertical="top"/>
    </xf>
    <xf numFmtId="0" fontId="0" fillId="8" borderId="2" xfId="0" applyFill="1" applyBorder="1"/>
    <xf numFmtId="167" fontId="0" fillId="8" borderId="2" xfId="0" applyNumberFormat="1" applyFill="1" applyBorder="1"/>
    <xf numFmtId="167" fontId="0" fillId="8" borderId="2" xfId="0" applyNumberFormat="1" applyFill="1" applyBorder="1" applyAlignment="1">
      <alignment horizontal="right"/>
    </xf>
    <xf numFmtId="44" fontId="0" fillId="0" borderId="0" xfId="0" pivotButton="1" applyNumberFormat="1"/>
    <xf numFmtId="44" fontId="0" fillId="0" borderId="0" xfId="0" applyNumberFormat="1"/>
    <xf numFmtId="44" fontId="0" fillId="0" borderId="0" xfId="0" applyNumberFormat="1" applyAlignment="1">
      <alignment horizontal="left"/>
    </xf>
    <xf numFmtId="0" fontId="1" fillId="4" borderId="2" xfId="0" applyFont="1" applyFill="1" applyBorder="1" applyAlignment="1">
      <alignment horizontal="center"/>
    </xf>
    <xf numFmtId="0" fontId="1" fillId="7" borderId="2" xfId="0" applyFont="1" applyFill="1" applyBorder="1" applyAlignment="1">
      <alignment horizontal="center" vertical="center"/>
    </xf>
    <xf numFmtId="0" fontId="4" fillId="8" borderId="2" xfId="0" applyFont="1" applyFill="1" applyBorder="1" applyAlignment="1">
      <alignment horizontal="center" vertical="center"/>
    </xf>
    <xf numFmtId="0" fontId="0" fillId="0" borderId="0" xfId="0" applyNumberFormat="1"/>
  </cellXfs>
  <cellStyles count="1">
    <cellStyle name="Normal" xfId="0" builtinId="0"/>
  </cellStyles>
  <dxfs count="387">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0" formatCode="General"/>
    </dxf>
    <dxf>
      <alignment horizontal="left" vertical="bottom" textRotation="0" wrapText="0" indent="0" justifyLastLine="0" shrinkToFit="0" readingOrder="0"/>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numFmt numFmtId="34" formatCode="_(&quot;₹&quot;* #,##0.00_);_(&quot;₹&quot;* \(#,##0.00\);_(&quot;₹&quot;* &quot;-&quot;??_);_(@_)"/>
    </dxf>
    <dxf>
      <font>
        <name val="Arial"/>
        <scheme val="none"/>
      </font>
    </dxf>
  </dxfs>
  <tableStyles count="1" defaultTableStyle="TableStyleMedium9" defaultPivotStyle="PivotStyleLight16">
    <tableStyle name="Slicer Style 1" pivot="0" table="0" count="1" xr9:uid="{00000000-0011-0000-FFFF-FFFF00000000}">
      <tableStyleElement type="headerRow" dxfId="386"/>
    </tableStyle>
  </tableStyles>
  <colors>
    <mruColors>
      <color rgb="FF00CC66"/>
    </mruColors>
  </color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5.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[India_Sales_Raw_Data_Uncleaned_2024-25.xlsx]pivot_dash!PivotTable1</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 sales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pivot_dash!$B$3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pivot_dash!$A$4:$A$16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pivot_dash!$B$4:$B$16</c:f>
              <c:numCache>
                <c:formatCode>_("₹"* #,##0.00_);_("₹"* \(#,##0.00\);_("₹"* "-"??_);_(@_)</c:formatCode>
                <c:ptCount val="12"/>
                <c:pt idx="0">
                  <c:v>1307843</c:v>
                </c:pt>
                <c:pt idx="1">
                  <c:v>1633335</c:v>
                </c:pt>
                <c:pt idx="2">
                  <c:v>2365233</c:v>
                </c:pt>
                <c:pt idx="3">
                  <c:v>753803</c:v>
                </c:pt>
                <c:pt idx="4">
                  <c:v>1055773</c:v>
                </c:pt>
                <c:pt idx="5">
                  <c:v>2567609</c:v>
                </c:pt>
                <c:pt idx="6">
                  <c:v>1688568</c:v>
                </c:pt>
                <c:pt idx="7">
                  <c:v>3015517</c:v>
                </c:pt>
                <c:pt idx="8">
                  <c:v>3272400</c:v>
                </c:pt>
                <c:pt idx="9">
                  <c:v>1922375</c:v>
                </c:pt>
                <c:pt idx="10">
                  <c:v>2326028</c:v>
                </c:pt>
                <c:pt idx="11">
                  <c:v>3661335</c:v>
                </c:pt>
              </c:numCache>
            </c:numRef>
          </c:val>
          <c:smooth val="0"/>
          <c:extLst>
            <c:ext xmlns:c16="http://schemas.microsoft.com/office/drawing/2014/chart" uri="{C3380CC4-5D6E-409C-BE32-E72D297353CC}">
              <c16:uniqueId val="{00000000-78A3-4AAD-903B-660F77111C09}"/>
            </c:ext>
          </c:extLst>
        </c:ser>
        <c:dLbls>
          <c:showLegendKey val="0"/>
          <c:showVal val="0"/>
          <c:showCatName val="0"/>
          <c:showSerName val="0"/>
          <c:showPercent val="0"/>
          <c:showBubbleSize val="0"/>
        </c:dLbls>
        <c:marker val="1"/>
        <c:smooth val="0"/>
        <c:axId val="622091288"/>
        <c:axId val="964601408"/>
      </c:lineChart>
      <c:catAx>
        <c:axId val="622091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601408"/>
        <c:crosses val="autoZero"/>
        <c:auto val="1"/>
        <c:lblAlgn val="ctr"/>
        <c:lblOffset val="100"/>
        <c:noMultiLvlLbl val="0"/>
      </c:catAx>
      <c:valAx>
        <c:axId val="964601408"/>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2091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[India_Sales_Raw_Data_Uncleaned_2024-25.xlsx]pivot_dash!PivotTable2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pivot_dash!$J$1</c:f>
              <c:strCache>
                <c:ptCount val="1"/>
                <c:pt idx="0">
                  <c:v>Total</c:v>
                </c:pt>
              </c:strCache>
            </c:strRef>
          </c:tx>
          <c:spPr>
            <a:solidFill>
              <a:schemeClr val="accent1"/>
            </a:solidFill>
            <a:ln>
              <a:noFill/>
            </a:ln>
            <a:effectLst/>
            <a:sp3d/>
          </c:spPr>
          <c:invertIfNegative val="0"/>
          <c:cat>
            <c:strRef>
              <c:f>pivot_dash!$I$2:$I$4</c:f>
              <c:strCache>
                <c:ptCount val="2"/>
                <c:pt idx="0">
                  <c:v>Furniture</c:v>
                </c:pt>
                <c:pt idx="1">
                  <c:v>Metal</c:v>
                </c:pt>
              </c:strCache>
            </c:strRef>
          </c:cat>
          <c:val>
            <c:numRef>
              <c:f>pivot_dash!$J$2:$J$4</c:f>
              <c:numCache>
                <c:formatCode>General</c:formatCode>
                <c:ptCount val="2"/>
                <c:pt idx="0">
                  <c:v>12012753</c:v>
                </c:pt>
                <c:pt idx="1">
                  <c:v>13557066</c:v>
                </c:pt>
              </c:numCache>
            </c:numRef>
          </c:val>
          <c:extLst>
            <c:ext xmlns:c16="http://schemas.microsoft.com/office/drawing/2014/chart" uri="{C3380CC4-5D6E-409C-BE32-E72D297353CC}">
              <c16:uniqueId val="{00000000-855A-4836-B9F7-7C93B3F3EA10}"/>
            </c:ext>
          </c:extLst>
        </c:ser>
        <c:dLbls>
          <c:showLegendKey val="0"/>
          <c:showVal val="0"/>
          <c:showCatName val="0"/>
          <c:showSerName val="0"/>
          <c:showPercent val="0"/>
          <c:showBubbleSize val="0"/>
        </c:dLbls>
        <c:gapWidth val="150"/>
        <c:shape val="box"/>
        <c:axId val="964604032"/>
        <c:axId val="964600096"/>
        <c:axId val="0"/>
      </c:bar3DChart>
      <c:catAx>
        <c:axId val="96460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600096"/>
        <c:crosses val="autoZero"/>
        <c:auto val="1"/>
        <c:lblAlgn val="ctr"/>
        <c:lblOffset val="100"/>
        <c:noMultiLvlLbl val="0"/>
      </c:catAx>
      <c:valAx>
        <c:axId val="96460009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64604032"/>
        <c:crosses val="autoZero"/>
        <c:crossBetween val="between"/>
      </c:valAx>
      <c:spPr>
        <a:noFill/>
        <a:ln>
          <a:noFill/>
        </a:ln>
        <a:effectLst/>
      </c:spPr>
    </c:plotArea>
    <c:plotVisOnly val="1"/>
    <c:dispBlanksAs val="gap"/>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[India_Sales_Raw_Data_Uncleaned_2024-25.xlsx]pivot_dash!PivotTable3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Unit Sold by region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pivot_dash!$M$1</c:f>
              <c:strCache>
                <c:ptCount val="1"/>
                <c:pt idx="0">
                  <c:v>Total</c:v>
                </c:pt>
              </c:strCache>
            </c:strRef>
          </c:tx>
          <c:spPr>
            <a:solidFill>
              <a:schemeClr val="accent1"/>
            </a:solidFill>
            <a:ln>
              <a:noFill/>
            </a:ln>
            <a:effectLst/>
            <a:sp3d/>
          </c:spPr>
          <c:invertIfNegative val="0"/>
          <c:cat>
            <c:strRef>
              <c:f>pivot_dash!$L$2:$L$10</c:f>
              <c:strCache>
                <c:ptCount val="8"/>
                <c:pt idx="0">
                  <c:v>Delhi</c:v>
                </c:pt>
                <c:pt idx="1">
                  <c:v>Gujarat</c:v>
                </c:pt>
                <c:pt idx="2">
                  <c:v>Haryana</c:v>
                </c:pt>
                <c:pt idx="3">
                  <c:v>Maharashtra</c:v>
                </c:pt>
                <c:pt idx="4">
                  <c:v>Punjab</c:v>
                </c:pt>
                <c:pt idx="5">
                  <c:v>Rajasthan</c:v>
                </c:pt>
                <c:pt idx="6">
                  <c:v>Tamil Nadu</c:v>
                </c:pt>
                <c:pt idx="7">
                  <c:v>West Bengal</c:v>
                </c:pt>
              </c:strCache>
            </c:strRef>
          </c:cat>
          <c:val>
            <c:numRef>
              <c:f>pivot_dash!$M$2:$M$10</c:f>
              <c:numCache>
                <c:formatCode>General</c:formatCode>
                <c:ptCount val="8"/>
                <c:pt idx="0">
                  <c:v>237</c:v>
                </c:pt>
                <c:pt idx="1">
                  <c:v>284</c:v>
                </c:pt>
                <c:pt idx="2">
                  <c:v>134</c:v>
                </c:pt>
                <c:pt idx="3">
                  <c:v>212</c:v>
                </c:pt>
                <c:pt idx="4">
                  <c:v>157</c:v>
                </c:pt>
                <c:pt idx="5">
                  <c:v>137</c:v>
                </c:pt>
                <c:pt idx="6">
                  <c:v>467</c:v>
                </c:pt>
                <c:pt idx="7">
                  <c:v>247</c:v>
                </c:pt>
              </c:numCache>
            </c:numRef>
          </c:val>
          <c:extLst>
            <c:ext xmlns:c16="http://schemas.microsoft.com/office/drawing/2014/chart" uri="{C3380CC4-5D6E-409C-BE32-E72D297353CC}">
              <c16:uniqueId val="{00000000-4908-43EE-AC85-4E5B16F46510}"/>
            </c:ext>
          </c:extLst>
        </c:ser>
        <c:dLbls>
          <c:showLegendKey val="0"/>
          <c:showVal val="0"/>
          <c:showCatName val="0"/>
          <c:showSerName val="0"/>
          <c:showPercent val="0"/>
          <c:showBubbleSize val="0"/>
        </c:dLbls>
        <c:gapWidth val="150"/>
        <c:shape val="box"/>
        <c:axId val="669567384"/>
        <c:axId val="669568040"/>
        <c:axId val="0"/>
      </c:bar3DChart>
      <c:catAx>
        <c:axId val="669567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68040"/>
        <c:crosses val="autoZero"/>
        <c:auto val="1"/>
        <c:lblAlgn val="ctr"/>
        <c:lblOffset val="100"/>
        <c:noMultiLvlLbl val="0"/>
      </c:catAx>
      <c:valAx>
        <c:axId val="669568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6738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[India_Sales_Raw_Data_Uncleaned_2024-25.xlsx]pivot_dash!PivotTable4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pivot_dash!$J$8</c:f>
              <c:strCache>
                <c:ptCount val="1"/>
                <c:pt idx="0">
                  <c:v>Total</c:v>
                </c:pt>
              </c:strCache>
            </c:strRef>
          </c:tx>
          <c:spPr>
            <a:solidFill>
              <a:schemeClr val="accent1"/>
            </a:solidFill>
            <a:ln>
              <a:noFill/>
            </a:ln>
            <a:effectLst/>
            <a:sp3d/>
          </c:spPr>
          <c:invertIfNegative val="0"/>
          <c:cat>
            <c:strRef>
              <c:f>pivot_dash!$I$9:$I$23</c:f>
              <c:strCache>
                <c:ptCount val="14"/>
                <c:pt idx="0">
                  <c:v>Steel Table</c:v>
                </c:pt>
                <c:pt idx="1">
                  <c:v>Bed Frame</c:v>
                </c:pt>
                <c:pt idx="2">
                  <c:v>Metal Chair</c:v>
                </c:pt>
                <c:pt idx="3">
                  <c:v>Copper Shelf</c:v>
                </c:pt>
                <c:pt idx="4">
                  <c:v>Tv Unit</c:v>
                </c:pt>
                <c:pt idx="5">
                  <c:v>Aluminium Frame</c:v>
                </c:pt>
                <c:pt idx="6">
                  <c:v>Iron Bed</c:v>
                </c:pt>
                <c:pt idx="7">
                  <c:v>Bookshelf</c:v>
                </c:pt>
                <c:pt idx="8">
                  <c:v>Coffee Table</c:v>
                </c:pt>
                <c:pt idx="9">
                  <c:v>Dining Table</c:v>
                </c:pt>
                <c:pt idx="10">
                  <c:v>Iron Rack</c:v>
                </c:pt>
                <c:pt idx="11">
                  <c:v>Sofa Set</c:v>
                </c:pt>
                <c:pt idx="12">
                  <c:v>Wardrobe</c:v>
                </c:pt>
                <c:pt idx="13">
                  <c:v>Wooden Chair</c:v>
                </c:pt>
              </c:strCache>
            </c:strRef>
          </c:cat>
          <c:val>
            <c:numRef>
              <c:f>pivot_dash!$J$9:$J$23</c:f>
              <c:numCache>
                <c:formatCode>General</c:formatCode>
                <c:ptCount val="14"/>
                <c:pt idx="0">
                  <c:v>3325044</c:v>
                </c:pt>
                <c:pt idx="1">
                  <c:v>2921225</c:v>
                </c:pt>
                <c:pt idx="2">
                  <c:v>2890723</c:v>
                </c:pt>
                <c:pt idx="3">
                  <c:v>2304693</c:v>
                </c:pt>
                <c:pt idx="4">
                  <c:v>1989375</c:v>
                </c:pt>
                <c:pt idx="5">
                  <c:v>1988223</c:v>
                </c:pt>
                <c:pt idx="6">
                  <c:v>1805653</c:v>
                </c:pt>
                <c:pt idx="7">
                  <c:v>1605258</c:v>
                </c:pt>
                <c:pt idx="8">
                  <c:v>1504929</c:v>
                </c:pt>
                <c:pt idx="9">
                  <c:v>1456575</c:v>
                </c:pt>
                <c:pt idx="10">
                  <c:v>1242730</c:v>
                </c:pt>
                <c:pt idx="11">
                  <c:v>1030457</c:v>
                </c:pt>
                <c:pt idx="12">
                  <c:v>1008179</c:v>
                </c:pt>
                <c:pt idx="13">
                  <c:v>496755</c:v>
                </c:pt>
              </c:numCache>
            </c:numRef>
          </c:val>
          <c:extLst>
            <c:ext xmlns:c16="http://schemas.microsoft.com/office/drawing/2014/chart" uri="{C3380CC4-5D6E-409C-BE32-E72D297353CC}">
              <c16:uniqueId val="{00000000-DE3D-4490-8930-3A5874C2D734}"/>
            </c:ext>
          </c:extLst>
        </c:ser>
        <c:dLbls>
          <c:showLegendKey val="0"/>
          <c:showVal val="0"/>
          <c:showCatName val="0"/>
          <c:showSerName val="0"/>
          <c:showPercent val="0"/>
          <c:showBubbleSize val="0"/>
        </c:dLbls>
        <c:gapWidth val="150"/>
        <c:shape val="box"/>
        <c:axId val="669550328"/>
        <c:axId val="669550656"/>
        <c:axId val="0"/>
      </c:bar3DChart>
      <c:catAx>
        <c:axId val="669550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50656"/>
        <c:crosses val="autoZero"/>
        <c:auto val="1"/>
        <c:lblAlgn val="ctr"/>
        <c:lblOffset val="100"/>
        <c:noMultiLvlLbl val="0"/>
      </c:catAx>
      <c:valAx>
        <c:axId val="66955065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955032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[India_Sales_Raw_Data_Uncleaned_2024-25.xlsx]pivot_dash!PivotTable1</c:name>
    <c:fmtId val="9"/>
  </c:pivotSource>
  <c:chart>
    <c:title>
      <c:tx>
        <c:rich>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r>
              <a:rPr lang="en-US" sz="1600"/>
              <a:t>Monthly sales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2">
                <a:lumMod val="60000"/>
                <a:lumOff val="40000"/>
              </a:schemeClr>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pivot_dash!$B$3</c:f>
              <c:strCache>
                <c:ptCount val="1"/>
                <c:pt idx="0">
                  <c:v>Total</c:v>
                </c:pt>
              </c:strCache>
            </c:strRef>
          </c:tx>
          <c:spPr>
            <a:ln w="34925" cap="rnd">
              <a:solidFill>
                <a:schemeClr val="accent1"/>
              </a:solidFill>
              <a:round/>
            </a:ln>
            <a:effectLst>
              <a:outerShdw blurRad="40000" dist="23000" dir="5400000" rotWithShape="0">
                <a:srgbClr val="000000">
                  <a:alpha val="35000"/>
                </a:srgbClr>
              </a:outerShdw>
            </a:effectLst>
          </c:spPr>
          <c:marker>
            <c:symbol val="circle"/>
            <c:size val="6"/>
            <c:spPr>
              <a:solidFill>
                <a:schemeClr val="tx2">
                  <a:lumMod val="60000"/>
                  <a:lumOff val="40000"/>
                </a:schemeClr>
              </a:soli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cat>
            <c:strRef>
              <c:f>pivot_dash!$A$4:$A$16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pivot_dash!$B$4:$B$16</c:f>
              <c:numCache>
                <c:formatCode>_("₹"* #,##0.00_);_("₹"* \(#,##0.00\);_("₹"* "-"??_);_(@_)</c:formatCode>
                <c:ptCount val="12"/>
                <c:pt idx="0">
                  <c:v>1307843</c:v>
                </c:pt>
                <c:pt idx="1">
                  <c:v>1633335</c:v>
                </c:pt>
                <c:pt idx="2">
                  <c:v>2365233</c:v>
                </c:pt>
                <c:pt idx="3">
                  <c:v>753803</c:v>
                </c:pt>
                <c:pt idx="4">
                  <c:v>1055773</c:v>
                </c:pt>
                <c:pt idx="5">
                  <c:v>2567609</c:v>
                </c:pt>
                <c:pt idx="6">
                  <c:v>1688568</c:v>
                </c:pt>
                <c:pt idx="7">
                  <c:v>3015517</c:v>
                </c:pt>
                <c:pt idx="8">
                  <c:v>3272400</c:v>
                </c:pt>
                <c:pt idx="9">
                  <c:v>1922375</c:v>
                </c:pt>
                <c:pt idx="10">
                  <c:v>2326028</c:v>
                </c:pt>
                <c:pt idx="11">
                  <c:v>3661335</c:v>
                </c:pt>
              </c:numCache>
            </c:numRef>
          </c:val>
          <c:smooth val="0"/>
          <c:extLst>
            <c:ext xmlns:c16="http://schemas.microsoft.com/office/drawing/2014/chart" uri="{C3380CC4-5D6E-409C-BE32-E72D297353CC}">
              <c16:uniqueId val="{00000000-9D51-46E3-96BB-435CC909AD06}"/>
            </c:ext>
          </c:extLst>
        </c:ser>
        <c:dLbls>
          <c:showLegendKey val="0"/>
          <c:showVal val="0"/>
          <c:showCatName val="0"/>
          <c:showSerName val="0"/>
          <c:showPercent val="0"/>
          <c:showBubbleSize val="0"/>
        </c:dLbls>
        <c:marker val="1"/>
        <c:smooth val="0"/>
        <c:axId val="622091288"/>
        <c:axId val="964601408"/>
      </c:lineChart>
      <c:catAx>
        <c:axId val="62209128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964601408"/>
        <c:crosses val="autoZero"/>
        <c:auto val="1"/>
        <c:lblAlgn val="ctr"/>
        <c:lblOffset val="100"/>
        <c:noMultiLvlLbl val="0"/>
      </c:catAx>
      <c:valAx>
        <c:axId val="964601408"/>
        <c:scaling>
          <c:orientation val="minMax"/>
        </c:scaling>
        <c:delete val="0"/>
        <c:axPos val="l"/>
        <c:numFmt formatCode="_(&quot;₹&quot;* #,##0.00_);_(&quot;₹&quot;* \(#,##0.0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2209128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[India_Sales_Raw_Data_Uncleaned_2024-25.xlsx]pivot_dash!PivotTable2</c:name>
    <c:fmtId val="7"/>
  </c:pivotSource>
  <c:chart>
    <c:title>
      <c:tx>
        <c:rich>
          <a:bodyPr rot="0" spcFirstLastPara="1" vertOverflow="ellipsis" vert="horz" wrap="square" anchor="ctr" anchorCtr="1"/>
          <a:lstStyle/>
          <a:p>
            <a:pPr>
              <a:defRPr sz="1260" b="1" i="0" u="none" strike="noStrike" kern="1200" cap="all" spc="50" baseline="0">
                <a:solidFill>
                  <a:schemeClr val="tx1"/>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260" b="1" i="0" u="none" strike="noStrike" kern="1200" cap="all" spc="5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spPr>
          <a:solidFill>
            <a:schemeClr val="tx2">
              <a:lumMod val="60000"/>
              <a:lumOff val="40000"/>
            </a:schemeClr>
          </a:solidFill>
          <a:ln>
            <a:noFill/>
          </a:ln>
          <a:effectLst/>
          <a:sp3d/>
        </c:spPr>
        <c:marker>
          <c:symbol val="circle"/>
          <c:size val="6"/>
          <c:spPr>
            <a:gradFill flip="none" rotWithShape="1">
              <a:gsLst>
                <a:gs pos="0">
                  <a:schemeClr val="accent1"/>
                </a:gs>
                <a:gs pos="75000">
                  <a:schemeClr val="accent1">
                    <a:lumMod val="60000"/>
                    <a:lumOff val="40000"/>
                  </a:schemeClr>
                </a:gs>
                <a:gs pos="51000">
                  <a:schemeClr val="accent1">
                    <a:alpha val="75000"/>
                  </a:schemeClr>
                </a:gs>
                <a:gs pos="100000">
                  <a:schemeClr val="accent1">
                    <a:lumMod val="20000"/>
                    <a:lumOff val="80000"/>
                    <a:alpha val="15000"/>
                  </a:schemeClr>
                </a:gs>
              </a:gsLst>
              <a:lin ang="5400000" scaled="0"/>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tx2">
              <a:lumMod val="60000"/>
              <a:lumOff val="40000"/>
            </a:schemeClr>
          </a:solidFill>
          <a:ln>
            <a:noFill/>
          </a:ln>
          <a:effectLst/>
          <a:sp3d/>
        </c:spPr>
        <c:dLbl>
          <c:idx val="0"/>
          <c:layout>
            <c:manualLayout>
              <c:x val="5.0822494477990691E-2"/>
              <c:y val="-2.9046879261614738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tx2">
              <a:lumMod val="60000"/>
              <a:lumOff val="40000"/>
            </a:schemeClr>
          </a:solidFill>
          <a:ln>
            <a:noFill/>
          </a:ln>
          <a:effectLst/>
          <a:sp3d/>
        </c:spPr>
        <c:dLbl>
          <c:idx val="0"/>
          <c:layout>
            <c:manualLayout>
              <c:x val="4.6403147132078458E-2"/>
              <c:y val="-4.3570318892421973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pivot_dash!$J$1</c:f>
              <c:strCache>
                <c:ptCount val="1"/>
                <c:pt idx="0">
                  <c:v>Total</c:v>
                </c:pt>
              </c:strCache>
            </c:strRef>
          </c:tx>
          <c:spPr>
            <a:solidFill>
              <a:schemeClr val="tx2">
                <a:lumMod val="60000"/>
                <a:lumOff val="40000"/>
              </a:schemeClr>
            </a:solidFill>
            <a:ln>
              <a:noFill/>
            </a:ln>
            <a:effectLst/>
            <a:sp3d/>
          </c:spPr>
          <c:invertIfNegative val="0"/>
          <c:dLbls>
            <c:dLbl>
              <c:idx val="0"/>
              <c:layout>
                <c:manualLayout>
                  <c:x val="5.0822494477990691E-2"/>
                  <c:y val="-2.9046879261614738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0-CC50-3F4D-81CF-BB5C63CBE236}"/>
                </c:ext>
              </c:extLst>
            </c:dLbl>
            <c:dLbl>
              <c:idx val="1"/>
              <c:layout>
                <c:manualLayout>
                  <c:x val="4.6403147132078458E-2"/>
                  <c:y val="-4.3570318892421973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C50-3F4D-81CF-BB5C63CBE236}"/>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pivot_dash!$I$2:$I$4</c:f>
              <c:strCache>
                <c:ptCount val="2"/>
                <c:pt idx="0">
                  <c:v>Furniture</c:v>
                </c:pt>
                <c:pt idx="1">
                  <c:v>Metal</c:v>
                </c:pt>
              </c:strCache>
            </c:strRef>
          </c:cat>
          <c:val>
            <c:numRef>
              <c:f>pivot_dash!$J$2:$J$4</c:f>
              <c:numCache>
                <c:formatCode>General</c:formatCode>
                <c:ptCount val="2"/>
                <c:pt idx="0">
                  <c:v>12012753</c:v>
                </c:pt>
                <c:pt idx="1">
                  <c:v>13557066</c:v>
                </c:pt>
              </c:numCache>
            </c:numRef>
          </c:val>
          <c:extLst>
            <c:ext xmlns:c16="http://schemas.microsoft.com/office/drawing/2014/chart" uri="{C3380CC4-5D6E-409C-BE32-E72D297353CC}">
              <c16:uniqueId val="{00000000-3111-408B-BD8E-E5A76DB60B68}"/>
            </c:ext>
          </c:extLst>
        </c:ser>
        <c:dLbls>
          <c:showLegendKey val="0"/>
          <c:showVal val="1"/>
          <c:showCatName val="0"/>
          <c:showSerName val="0"/>
          <c:showPercent val="0"/>
          <c:showBubbleSize val="0"/>
        </c:dLbls>
        <c:gapWidth val="150"/>
        <c:gapDepth val="0"/>
        <c:shape val="box"/>
        <c:axId val="964604032"/>
        <c:axId val="964600096"/>
        <c:axId val="0"/>
      </c:bar3DChart>
      <c:catAx>
        <c:axId val="9646040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964600096"/>
        <c:crosses val="autoZero"/>
        <c:auto val="1"/>
        <c:lblAlgn val="ctr"/>
        <c:lblOffset val="100"/>
        <c:noMultiLvlLbl val="0"/>
      </c:catAx>
      <c:valAx>
        <c:axId val="964600096"/>
        <c:scaling>
          <c:orientation val="minMax"/>
        </c:scaling>
        <c:delete val="1"/>
        <c:axPos val="b"/>
        <c:majorGridlines>
          <c:spPr>
            <a:ln w="9525" cap="flat" cmpd="sng" algn="ctr">
              <a:noFill/>
              <a:round/>
            </a:ln>
            <a:effectLst/>
          </c:spPr>
        </c:majorGridlines>
        <c:numFmt formatCode="General" sourceLinked="1"/>
        <c:majorTickMark val="none"/>
        <c:minorTickMark val="none"/>
        <c:tickLblPos val="nextTo"/>
        <c:crossAx val="964604032"/>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sz="105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[India_Sales_Raw_Data_Uncleaned_2024-25.xlsx]pivot_dash!PivotTable3</c:name>
    <c:fmtId val="6"/>
  </c:pivotSource>
  <c:chart>
    <c:title>
      <c:tx>
        <c:rich>
          <a:bodyPr rot="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r>
              <a:rPr lang="en-US" sz="1600" b="1">
                <a:solidFill>
                  <a:sysClr val="windowText" lastClr="000000"/>
                </a:solidFill>
              </a:rPr>
              <a:t>Unit Sold by region</a:t>
            </a:r>
          </a:p>
        </c:rich>
      </c:tx>
      <c:overlay val="0"/>
      <c:spPr>
        <a:noFill/>
        <a:ln>
          <a:noFill/>
        </a:ln>
        <a:effectLst/>
      </c:spPr>
      <c:txPr>
        <a:bodyPr rot="0" spcFirstLastPara="1" vertOverflow="ellipsis" vert="horz" wrap="square" anchor="ctr" anchorCtr="1"/>
        <a:lstStyle/>
        <a:p>
          <a:pPr>
            <a:defRPr sz="1600" b="1" i="0" u="none" strike="noStrike" kern="1200" cap="all" baseline="0">
              <a:solidFill>
                <a:sysClr val="windowText" lastClr="000000"/>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tx2">
              <a:lumMod val="60000"/>
              <a:lumOff val="40000"/>
            </a:schemeClr>
          </a:solidFill>
          <a:ln>
            <a:noFill/>
          </a:ln>
          <a:effectLst/>
          <a:scene3d>
            <a:camera prst="orthographicFront"/>
            <a:lightRig rig="threePt" dir="t"/>
          </a:scene3d>
          <a:sp3d prstMaterial="flat"/>
        </c:spPr>
        <c:marker>
          <c:symbol val="none"/>
        </c:marker>
        <c:dLbl>
          <c:idx val="0"/>
          <c:spPr>
            <a:noFill/>
            <a:ln>
              <a:noFill/>
              <a:round/>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pivot_dash!$M$1</c:f>
              <c:strCache>
                <c:ptCount val="1"/>
                <c:pt idx="0">
                  <c:v>Total</c:v>
                </c:pt>
              </c:strCache>
            </c:strRef>
          </c:tx>
          <c:spPr>
            <a:solidFill>
              <a:schemeClr val="tx2">
                <a:lumMod val="60000"/>
                <a:lumOff val="40000"/>
              </a:schemeClr>
            </a:solidFill>
            <a:ln>
              <a:noFill/>
            </a:ln>
            <a:effectLst/>
            <a:scene3d>
              <a:camera prst="orthographicFront"/>
              <a:lightRig rig="threePt" dir="t"/>
            </a:scene3d>
            <a:sp3d prstMaterial="flat"/>
          </c:spPr>
          <c:invertIfNegative val="0"/>
          <c:dLbls>
            <c:spPr>
              <a:noFill/>
              <a:ln>
                <a:noFill/>
                <a:round/>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pivot_dash!$L$2:$L$10</c:f>
              <c:strCache>
                <c:ptCount val="8"/>
                <c:pt idx="0">
                  <c:v>Delhi</c:v>
                </c:pt>
                <c:pt idx="1">
                  <c:v>Gujarat</c:v>
                </c:pt>
                <c:pt idx="2">
                  <c:v>Haryana</c:v>
                </c:pt>
                <c:pt idx="3">
                  <c:v>Maharashtra</c:v>
                </c:pt>
                <c:pt idx="4">
                  <c:v>Punjab</c:v>
                </c:pt>
                <c:pt idx="5">
                  <c:v>Rajasthan</c:v>
                </c:pt>
                <c:pt idx="6">
                  <c:v>Tamil Nadu</c:v>
                </c:pt>
                <c:pt idx="7">
                  <c:v>West Bengal</c:v>
                </c:pt>
              </c:strCache>
            </c:strRef>
          </c:cat>
          <c:val>
            <c:numRef>
              <c:f>pivot_dash!$M$2:$M$10</c:f>
              <c:numCache>
                <c:formatCode>General</c:formatCode>
                <c:ptCount val="8"/>
                <c:pt idx="0">
                  <c:v>237</c:v>
                </c:pt>
                <c:pt idx="1">
                  <c:v>284</c:v>
                </c:pt>
                <c:pt idx="2">
                  <c:v>134</c:v>
                </c:pt>
                <c:pt idx="3">
                  <c:v>212</c:v>
                </c:pt>
                <c:pt idx="4">
                  <c:v>157</c:v>
                </c:pt>
                <c:pt idx="5">
                  <c:v>137</c:v>
                </c:pt>
                <c:pt idx="6">
                  <c:v>467</c:v>
                </c:pt>
                <c:pt idx="7">
                  <c:v>247</c:v>
                </c:pt>
              </c:numCache>
            </c:numRef>
          </c:val>
          <c:extLst>
            <c:ext xmlns:c16="http://schemas.microsoft.com/office/drawing/2014/chart" uri="{C3380CC4-5D6E-409C-BE32-E72D297353CC}">
              <c16:uniqueId val="{00000000-3A45-445A-A51B-EE6B18E4201C}"/>
            </c:ext>
          </c:extLst>
        </c:ser>
        <c:dLbls>
          <c:showLegendKey val="0"/>
          <c:showVal val="1"/>
          <c:showCatName val="0"/>
          <c:showSerName val="0"/>
          <c:showPercent val="0"/>
          <c:showBubbleSize val="0"/>
        </c:dLbls>
        <c:gapWidth val="84"/>
        <c:gapDepth val="53"/>
        <c:shape val="box"/>
        <c:axId val="669567384"/>
        <c:axId val="669568040"/>
        <c:axId val="0"/>
      </c:bar3DChart>
      <c:catAx>
        <c:axId val="6695673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1" i="0" u="none" strike="noStrike" kern="1200" baseline="0">
                <a:solidFill>
                  <a:schemeClr val="tx1"/>
                </a:solidFill>
                <a:latin typeface="+mn-lt"/>
                <a:ea typeface="+mn-ea"/>
                <a:cs typeface="+mn-cs"/>
              </a:defRPr>
            </a:pPr>
            <a:endParaRPr lang="en-US"/>
          </a:p>
        </c:txPr>
        <c:crossAx val="669568040"/>
        <c:crosses val="autoZero"/>
        <c:auto val="1"/>
        <c:lblAlgn val="ctr"/>
        <c:lblOffset val="100"/>
        <c:noMultiLvlLbl val="0"/>
      </c:catAx>
      <c:valAx>
        <c:axId val="669568040"/>
        <c:scaling>
          <c:orientation val="minMax"/>
        </c:scaling>
        <c:delete val="1"/>
        <c:axPos val="l"/>
        <c:numFmt formatCode="General" sourceLinked="1"/>
        <c:majorTickMark val="out"/>
        <c:minorTickMark val="none"/>
        <c:tickLblPos val="nextTo"/>
        <c:crossAx val="669567384"/>
        <c:crosses val="autoZero"/>
        <c:crossBetween val="between"/>
      </c:valAx>
      <c:spPr>
        <a:noFill/>
        <a:ln>
          <a:noFill/>
        </a:ln>
        <a:effectLst/>
      </c:spPr>
    </c:plotArea>
    <c:plotVisOnly val="1"/>
    <c:dispBlanksAs val="gap"/>
    <c:showDLblsOverMax val="0"/>
  </c:chart>
  <c:spPr>
    <a:solidFill>
      <a:schemeClr val="bg1"/>
    </a:solidFill>
    <a:ln w="6350"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[India_Sales_Raw_Data_Uncleaned_2024-25.xlsx]pivot_dash!PivotTable4</c:name>
    <c:fmtId val="6"/>
  </c:pivotSource>
  <c:chart>
    <c:title>
      <c:tx>
        <c:rich>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r>
              <a:rPr lang="en-US" sz="1600"/>
              <a:t>Top 5 Products Sales</a:t>
            </a:r>
          </a:p>
        </c:rich>
      </c:tx>
      <c:overlay val="0"/>
      <c:spPr>
        <a:noFill/>
        <a:ln>
          <a:noFill/>
        </a:ln>
        <a:effectLst/>
      </c:spPr>
      <c:txPr>
        <a:bodyPr rot="0" spcFirstLastPara="1" vertOverflow="ellipsis" vert="horz" wrap="square" anchor="ctr" anchorCtr="1"/>
        <a:lstStyle/>
        <a:p>
          <a:pPr>
            <a:defRPr sz="1600" b="1" i="0" u="none" strike="noStrike" kern="1200" cap="all" spc="50" baseline="0">
              <a:solidFill>
                <a:schemeClr val="tx1"/>
              </a:solidFill>
              <a:latin typeface="+mn-lt"/>
              <a:ea typeface="+mn-ea"/>
              <a:cs typeface="+mn-cs"/>
            </a:defRPr>
          </a:pPr>
          <a:endParaRPr lang="en-US"/>
        </a:p>
      </c:txPr>
    </c:title>
    <c:autoTitleDeleted val="0"/>
    <c:pivotFmts>
      <c:pivotFmt>
        <c:idx val="0"/>
      </c:pivotFmt>
      <c:pivotFmt>
        <c:idx val="1"/>
      </c:pivotFmt>
      <c:pivotFmt>
        <c:idx val="2"/>
      </c:pivotFmt>
      <c:pivotFmt>
        <c:idx val="3"/>
        <c:spPr>
          <a:solidFill>
            <a:schemeClr val="tx2">
              <a:lumMod val="60000"/>
              <a:lumOff val="40000"/>
            </a:schemeClr>
          </a:solidFill>
          <a:ln>
            <a:noFill/>
          </a:ln>
          <a:effectLst/>
          <a:sp3d/>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w="25400">
          <a:noFill/>
        </a:ln>
        <a:effectLst/>
        <a:sp3d/>
      </c:spPr>
    </c:backWall>
    <c:plotArea>
      <c:layout/>
      <c:bar3DChart>
        <c:barDir val="bar"/>
        <c:grouping val="clustered"/>
        <c:varyColors val="0"/>
        <c:ser>
          <c:idx val="0"/>
          <c:order val="0"/>
          <c:tx>
            <c:strRef>
              <c:f>pivot_dash!$J$8</c:f>
              <c:strCache>
                <c:ptCount val="1"/>
                <c:pt idx="0">
                  <c:v>Total</c:v>
                </c:pt>
              </c:strCache>
            </c:strRef>
          </c:tx>
          <c:spPr>
            <a:solidFill>
              <a:schemeClr val="tx2">
                <a:lumMod val="60000"/>
                <a:lumOff val="40000"/>
              </a:schemeClr>
            </a:solidFill>
            <a:ln>
              <a:noFill/>
            </a:ln>
            <a:effectLst/>
            <a:sp3d/>
          </c:spPr>
          <c:invertIfNegative val="0"/>
          <c:cat>
            <c:strRef>
              <c:f>pivot_dash!$I$9:$I$23</c:f>
              <c:strCache>
                <c:ptCount val="14"/>
                <c:pt idx="0">
                  <c:v>Steel Table</c:v>
                </c:pt>
                <c:pt idx="1">
                  <c:v>Bed Frame</c:v>
                </c:pt>
                <c:pt idx="2">
                  <c:v>Metal Chair</c:v>
                </c:pt>
                <c:pt idx="3">
                  <c:v>Copper Shelf</c:v>
                </c:pt>
                <c:pt idx="4">
                  <c:v>Tv Unit</c:v>
                </c:pt>
                <c:pt idx="5">
                  <c:v>Aluminium Frame</c:v>
                </c:pt>
                <c:pt idx="6">
                  <c:v>Iron Bed</c:v>
                </c:pt>
                <c:pt idx="7">
                  <c:v>Bookshelf</c:v>
                </c:pt>
                <c:pt idx="8">
                  <c:v>Coffee Table</c:v>
                </c:pt>
                <c:pt idx="9">
                  <c:v>Dining Table</c:v>
                </c:pt>
                <c:pt idx="10">
                  <c:v>Iron Rack</c:v>
                </c:pt>
                <c:pt idx="11">
                  <c:v>Sofa Set</c:v>
                </c:pt>
                <c:pt idx="12">
                  <c:v>Wardrobe</c:v>
                </c:pt>
                <c:pt idx="13">
                  <c:v>Wooden Chair</c:v>
                </c:pt>
              </c:strCache>
            </c:strRef>
          </c:cat>
          <c:val>
            <c:numRef>
              <c:f>pivot_dash!$J$9:$J$23</c:f>
              <c:numCache>
                <c:formatCode>General</c:formatCode>
                <c:ptCount val="14"/>
                <c:pt idx="0">
                  <c:v>3325044</c:v>
                </c:pt>
                <c:pt idx="1">
                  <c:v>2921225</c:v>
                </c:pt>
                <c:pt idx="2">
                  <c:v>2890723</c:v>
                </c:pt>
                <c:pt idx="3">
                  <c:v>2304693</c:v>
                </c:pt>
                <c:pt idx="4">
                  <c:v>1989375</c:v>
                </c:pt>
                <c:pt idx="5">
                  <c:v>1988223</c:v>
                </c:pt>
                <c:pt idx="6">
                  <c:v>1805653</c:v>
                </c:pt>
                <c:pt idx="7">
                  <c:v>1605258</c:v>
                </c:pt>
                <c:pt idx="8">
                  <c:v>1504929</c:v>
                </c:pt>
                <c:pt idx="9">
                  <c:v>1456575</c:v>
                </c:pt>
                <c:pt idx="10">
                  <c:v>1242730</c:v>
                </c:pt>
                <c:pt idx="11">
                  <c:v>1030457</c:v>
                </c:pt>
                <c:pt idx="12">
                  <c:v>1008179</c:v>
                </c:pt>
                <c:pt idx="13">
                  <c:v>496755</c:v>
                </c:pt>
              </c:numCache>
            </c:numRef>
          </c:val>
          <c:extLst>
            <c:ext xmlns:c16="http://schemas.microsoft.com/office/drawing/2014/chart" uri="{C3380CC4-5D6E-409C-BE32-E72D297353CC}">
              <c16:uniqueId val="{00000000-CDEA-41FA-91F9-6FD8DDD90BEB}"/>
            </c:ext>
          </c:extLst>
        </c:ser>
        <c:dLbls>
          <c:showLegendKey val="0"/>
          <c:showVal val="0"/>
          <c:showCatName val="0"/>
          <c:showSerName val="0"/>
          <c:showPercent val="0"/>
          <c:showBubbleSize val="0"/>
        </c:dLbls>
        <c:gapWidth val="150"/>
        <c:gapDepth val="0"/>
        <c:shape val="box"/>
        <c:axId val="669550328"/>
        <c:axId val="669550656"/>
        <c:axId val="0"/>
      </c:bar3DChart>
      <c:catAx>
        <c:axId val="66955032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69550656"/>
        <c:crosses val="autoZero"/>
        <c:auto val="1"/>
        <c:lblAlgn val="ctr"/>
        <c:lblOffset val="100"/>
        <c:noMultiLvlLbl val="0"/>
      </c:catAx>
      <c:valAx>
        <c:axId val="669550656"/>
        <c:scaling>
          <c:orientation val="minMax"/>
        </c:scaling>
        <c:delete val="0"/>
        <c:axPos val="b"/>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solidFill>
                <a:latin typeface="+mn-lt"/>
                <a:ea typeface="+mn-ea"/>
                <a:cs typeface="+mn-cs"/>
              </a:defRPr>
            </a:pPr>
            <a:endParaRPr lang="en-US"/>
          </a:p>
        </c:txPr>
        <c:crossAx val="669550328"/>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sz="1050" b="1">
          <a:solidFill>
            <a:schemeClr val="tx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_xlchart.v5.4</cx:f>
        <cx:nf>_xlchart.v5.3</cx:nf>
      </cx:numDim>
    </cx:data>
  </cx:chartData>
  <cx:chart>
    <cx:plotArea>
      <cx:plotAreaRegion>
        <cx:series layoutId="regionMap" uniqueId="{E3DB55BE-000A-F24B-98CF-F1900DFC6806}">
          <cx:tx>
            <cx:txData>
              <cx:f>_xlchart.v5.3</cx:f>
              <cx:v>Column2</cx:v>
            </cx:txData>
          </cx:tx>
          <cx:dataId val="0"/>
          <cx:layoutPr>
            <cx:geography cultureLanguage="en-GB" cultureRegion="IN" attribution="Powered by Bing">
              <cx:geoCache provider="{E9337A44-BEBE-4D9F-B70C-5C5E7DAFC167}">
                <cx:binary>1HvZkty4te2vKPrZrAYxw3HsiAuSmVlzqqqkkvTCKNVAEgQJDgCnrz+7Wuo+LVn2ue7ruGErpFBk
ggRB7GmttZH/9bj8+dE+Pwxvlsa2458fl7/8VHrf/fnnn8fH8rl5GE+a6nFwo3vxJ4+u+dm9vFSP
zz8/DQ9z1RY/YxTTnx/Lh8E/Lz/99b9gtuLZXbjHB1+59m14Htab5zFYP/6DsR8OvXl4aqo2rUY/
VI8+/stPNw/mYfTlQ/vTm+fWV369W7vnv/z0zWU/vfn5+8n+5sFvLKzNhye4F/MTJinBRAr15c9P
b6xri6/DgpxIhmIsY4F++cN+ffTVQwO3/7aiP705bZ+qh19Hf7SwX5b18PQ0PI8jvNov//9ohm9e
By44++nNowutf93HArb0Lz99fVQ1uuTLQOJe3+X06peX//lbC/z1v777Arbju29+Z6Tv9+5/G/ob
G909NJV9c/XwFP7RXvxzRorjExTzGCEpv7WOPKFIIIyY+PVhX8zyP4v4w3b5wRTfGeYOtvs/yDDH
0JqHz7/u048c9J8zCkEnkuKYKQyb//uQYSc05hIp9DWiyK/P/GKbL+v4w3b57vbvbHLU/1E2uXyA
tPkwln74h5njnzNMrE4ow0gSpr7krPhb+/CTGElFMP2a8L5Lab9b0x820o/m+M5Sl4f/KEsdHob1
of0XWgmrk1jJWFHY/t9HDz8hFGGKqPxiPP5t9Hxdxx+2zPf3f2eVw81/lFX2wUD8+F+36P89qWF8
whXmnKGvwaG+tU58wpRAjDD8Zfy7uvN1PX/YOt/f/5119v/eUODHxfD3SO2bK/5ZpIZPYNsZwhJ/
iQz8rWnUCeGEC0TYl+HvTPMDePbtan4Mz77e9s2l/94A7P559G/0c1s82H9hXLziYBozJL4t9lKc
KIG5ouTHxeR3i/nDQfGjOb4LjPv/rLKfPtuy+hcaR55wSohCnP+w4IuTOGZUSBZ/MdJ3JeWX1fxh
63x793d2SS/+/5aTv89rfuOA6YN/yH4hj7+jNv949FdO9N2t/4iDfkl6p09/+UlQgGFcxhhD+GDC
Ygxw7DeK+jrl13m+oOP0AWj1m4f2CShUAZT88DA92+rN/4Ev0ofmof1lKK1+I1d/9xHPwJTh6eQE
YwFQL6YMgheW8dObGRIEjAB8FxDQTBBBEOWv1Kp1gy+BE6MTQUmMFQzAsjmCIji68HUIUcphPnid
1ynlb4z/6OxauPa3rfz6+U0bmqOrWj/+5aeYANjpvlz3deFSEgoCAok5xUwoWET3+HADssLr5X/q
czObgm80y+d3YXWX6i7eFbuSJEOlqzyRJqnYDo035F27aBWSzbwb+2pXNff54tMqjxI50QTVzSeV
T2ldHspm1CHaCTnsp07qfGxOS/l5XWhadoXRoboP8ydc+SxaB67Rdku6SM94vSblsCPRWSdfhiWx
h5zfTfiqeCpbq1t2sfpat/OlG0KS85em5Uk9YF1Guor5KTO+0QrFV1PTpuscJbZc9w2vjeZLSBZq
dizaI26GnYl9kbhgr5byU6s2zdv5M1Ltu9Gjt02/lWlVCKkZWbtsFCah7aO311xOXoep9jo2oybF
rG3Z62HVs8DH2Jjbwm6nhAw7tOJDRJuzGnGb8OaCLLFJxq67HsNQ674Y0hBFGTfoaGOrl84YHRH3
zAJtk7anH5GJ9mCmbHJF5lShTT7v6FjvVromg19Sw4fU1uMlqfzRc3IV5+SxFvy4OFjrvK5MdzF+
v1TrOxdtO9yorKDUaCNprEsuGs0nmLUoq2PRdEH3ahw1ldVVP86JWS5/FzY/8q0YeOa3vgVxB+oA
EnEsqOD8O9+qJzQulYtUtmzNu8FHLqF0PC4TO5Qzz4BB9akV/MzX7d5216xZ9iym576RIV0RmXQz
Tq3Oc3XKK3uoI7SrwrwbTJ3rkJMjmdxuWdgtoWzQxoxpT6rzvj1Hge6Hrj2P110cyaxdO91V21tm
y4MUczbE6sqDCbu1eqEDu2H1xwi2OQ8sqYZmV5h6V8RlMgw+7WeSOjNeSCVSvLi0GKJDt6HjwIbd
ROhxReqC0+JyWYNWS7NvSn9nujwBl9xv6ozGnzibtNnCWc+3K+TmVkeu6LUQS6kVeGW9trtuqi5k
eyl6u4/yQbNGfm78erAWHYp5LCCWRpTUYbvYFp9JmT+sHdu5NugGJtQBVaOO4vUM0sU9xsWVae/w
MFwOOT2M8XzXLp82w5bzDq8uMW0sPvY5CToq7YfIkKzs4j034CIzp7uYq0NPhie0wBqnZr0u1pBr
mTuWKk/CeT/3uuPbp3/sJpj+wEuIUAS0JcCVigK++X0G2hyS9TC3ecZd/VxE4T6H7cuH+FM/lMk2
DWexGG76vL7awnRdjMOpmZerqqI6rsd+53txUTNlUjN2p8OmrkvcQO7yN6NUbVr6+mjK6aVj7f/i
3VDev1s3h8wN/g0JHAoMEHr07brHrrfdFJs868UgtMHkLK9hwcwlS9isHizTuS3l3kNe7Ap+iBpI
Un0cHrDYLV2770u7ahFtTA/9vCWdEOCzBc4crg4iGKwxt1drNd1CYt0TuxwrE267KH63kSJtBvxU
sOW2oaPOifSpKwev86qGB3PvskVKSI0TfkGhDLrwProgzezBGTuvbTfflNN0nGU473he6Iq3l+WU
mx3n6lMvtliTerrjsb2eLN10YN1LG5kyY6S7m330okpiE1nxFx7Z25GbD81W7YdptDsWv3S22pdL
kagWVlD0p8NI9SZV4kv2fm7iPZGz0mL4PJfR6VpJ7Zo5G2NdoDlBU5lUNbtvO6znqjzQfMka5i9R
VB1HD9WjQzg1Uh2iuK11GcK9Gfy7HmHI4/TDVvfvimq5Drjd0in4ZIv8gZg+6Qt0YH17y8r5gIpN
t9485qi7taU/C5ikHEO8G5ZyI49Fi05dNx9nKlNs5W0T40mHhqcBqUzFKqkKtitKtAPTX6DYZvM0
Q5Wp7u3SHyYRMi+6hK2XyF34fMvGle28sokVlY7HD2a7zTlJ6kqmZThXXX1q2vx+gC3cr6KoEpPH
u75t9rLesnJuGz0Q/1KXZbJ4fgyIpv1gPvbN5rUaTXvA2KJkI7TXhgt/bxrx1hVk0FHfp+0wz1p1
07Fi5rG3dNIRfqlkc5pH6p6OVueRe5JFtOvC1mrn8osWwlCryR19Xx/wxnbGdbfNzG/qwpxTvM7p
lnPdb2xNIhvD/T5VLuxGM6d5MbZQmT4YPB/IshyaUCpdt1Wjc9+8I2X7oRjZxTKQ99ZLpxn/wLb+
bmmCz8CrT/tcvGyYnOeh5Nk8Bq5tXJyvCxc6+HVNh0LajNHtoi6ganF33fQAL8SAHui42QzPw40j
60Pdl62ug/+ALCl13HKXVGo9DtS/mzZ5Nomu1ARVWVSf1pi95yJuEx8vCS7NXTzyDwGHc7Qsn5tl
UzpqbRpbcojmJV0QOja8SGuWv2/8rOVQJwNVNzxEl0X9ces37WRIVF5ejVP1ljRbtoK3U9O9bBXW
K+zYsqjbZSX3uK/2zm+nQ9zf5NHnqZYvakOflmLRBV52cVCPhuK0asSUFIzd5Oq5EVAyVEajq0Fe
dfEVI9dtuDFTdRyiJg2k05zcTCvW3sh3zTImNaAOt/mk5URP3ZJi81xX676dZVaPH4S6m1mpq4Vq
Yl9UVaYx/hiKW1E0ey4HLenbqBl0Mc43LmBwl+jSoJsFV50utwuUWy1Wqj3UqIrT00HsGG2yuqq1
Mhzqw3U8PyrWJY0gH3yQmq8Q1zX+INWxWeZE2LeoCJWGXHnf57hOQsXSovo8j+OuCS+LcUnTqc8L
IXanpvFz1PFDNRSHuoqfptn4JKiy0bVT6drXhWZqTvHaa6+cPDVlLXQ0qTGVRfO+WqMiW/BKn6IB
x1pGMnVEyN3stnM2tHdl0Yt0M/GdqqOPbl3vXb3dbYs5brkXydQNVUJaQk8LX9ustbLNBG9DOs0t
aBXbXm7i4KNR86YaEiQBThXlchvRvtAD6rIZUd2Y+cFzgMPxcMrnPE6Cb/XGxedmms7UXD7LNdyp
tuuS3uCDMWuRuhGgicqbOssFMhpHeWomf2fJBtCuyQCoX7iOvNTIJibeF56fUerS2A2X9dxB9qWX
Zc+u1tXvJelxSnNS7Aa6lprOLErnXlWpZ0OUjFT5zNbRqv9Ubjm2IgBM65g61tggDQjsrkLNh2Er
Wt24sgZvyG9IGZ/B3lRZrtZJ4y5ftRPCJ6INQaNIwkMafvsLOvhKE7+iyC+M5dF161AV5dc25W8f
/3rnGvj7S8vsf7789iPM8HXKVz73zYe/oZp/h0x+aZH+ncH/W6YZA18DtoZBCAPiRghgmb/PNC8e
nh7q8lcV4gsd+8EEX3ikRCcES9DXAIUBFmEKYNRXHolPGIlBepAgZQNpBIb3lUYScQJyEbRPCY2F
4lLA0FcaSUDLA2enMQLZgjAQJ/4ZGinZK5T/HxoZ4ZgCwkfw71sQRK13dVz78mBn0ewCLJ5r082F
SmTX9JMmqt3ORdTKfSDDeIY8E2cOS8AkE/fmau6gRutWrqxJxWKH9yzKw9Wo5Pq+M42iSVvJttsN
dQPApgL3vWk6M74VNaJLIkwjkSZicxUA06KIhgQAWZ6NBOVOj6bHxedJTlF3OjlHL0fMyJld4vlh
ytf2c1fWbMwGyNF717RDozdWqSKx08jRYV45/zSsdeE0cWpZ9yvyCGls7dSfji4C2tuvJTVp6GLT
nxnJq7dLJ1iRmG3o75gIzW2QYkl5HaY8WYDqfsRr3RyXJV6jZJlwPQHk2KzdQfYquSasRB97s9ZE
KxJB6lG1FzdLW01QLQ2ZHg2LljNlGnoWh6K4YRFrs15W+BYzE+5RPrBjE5XNjWhqvo88VQdqu20/
oaXN8oiL/GJinKSrY31GCg5Fgc+R3E1haCBz4VA+qnkBO0Z2LFVmMZ+AYdTzdt5FnLzM+bTcor7Y
nqu5aSadF13/ccM1vVZhNXFWjiYfkoaa4p2gdlp0CI0/lp1CV6sxC6S0pQOgG4p12te2gmJniml+
J2IevYecVFrNZ4HeyRCXq1a8X+usiiw6Sl7izyae+/2wyT6JsYecv6BiPIICEDnturYRWdPl6tyQ
2l+Ythx6DSSmPQjTV+MpbXo16Dpu/aeG1tGQMhrG56LJlzs2OUBII/U5FAcfyUTkQV66buBjAjKL
talXFO/r3ozqmqlg+8yvpl0SpiZa6jWyrrqcN7FUull7RzMztRHZNXQTz60hOQgetmd50pm22zLe
YxsnkWqM05CBu08bteUHhDv3WkGW9rphC5BFiJoVaspsm/nAWgEgFjYWNIyKNhXs3xRgnQQetKQV
W8sbFpf9ALvPiw/NSPKXynRiPRsszp/rnPuDNH2IHzs7oUaXA4+BSDT5Bi61MO92YiClO04WxxdQ
Vdsc+IqVp+U8j4+Bl0sWDV1oU1Q18HnEY3QRR5WrsykE9Ym6bTNHX048aLrkDFjZ2rzrfUGfVrZV
H5eizqUeVC66FHCgTWLkAFGiqKYJjdv5tCtF6XQJwBXpKuKcprjtrUyQq32cgE4RdqtCQN7LbZXP
aho4TutRxZkUlhk9LV68RSEfTyc+jZO2TYDqa9X4WQ1svDemRFd02bYdC6N3aVMuXOpuUNPbKKLj
/Tww4F1sdufbFve7yQLVA9JkOg6sKZ+yBitfAVsvaYa71sJeNK6o9Gam7n5txvq8jWtWgpTDRwIy
DXWnrS8WrEGR2TQDrwSNCM2u1CWbmJ6M4Bkf3fSoNuAJICMFAYRo3fylre16w9VWyp3LXZdnlq3L
vi8ito87i05FV4NsgMGMHwdVb08AOQqeYY+AYjQ+ugyiLC7VyOpSY0fFzdx01e00RaHRduLxKZr5
dqBjPtxUcp6uxwJzr/HcRmkBJ1s+OFeKbNrmcjfmeX7nA6SchDTFtjP1DPyUqQ7wskehTTYqzae2
mt21sQPLxr5Q2qhlOQ35sD2FlTiZrGXp4n1dA9ACrWkF24e6Kwmgj6L72Lmu/iiA4s5nisTEJWwR
A2AN5N+BdZZJo7WIr4Gmjslkfb+eRWyZRz3Lkai9k8aleRWFOkEjmTvwVeM+W0b4nacBnLBHQWFd
zL35FDvafWD9DDyz7wdnNQ7Usx3lGxA9V5u61V4MQFlxh7r3o4lNfYOlazyYhEDSKRDtUxK1CJ+X
ZkVzOsH2b5mofLRo3q3TcsB2Bmg4oHUk113fDZfFVuWVnlu11qkosLoaemE/L2VRvpTR4NJuRNVd
gQcgXsoSKDfC1nJvQH8tE1s4keVrDECwaEV1oC0KRRq5fjmjUw9aEVlzexbmiW8Jm2wzJtZ5d4UM
nsY0LsYinWS+HOeuJ1sarVG9n5oSncY+B7gqgqXJ0sRs2fWEmAsyxBFLsPPkgDpS7qflegjLVugS
zp91ehin7WI1XZeFpmmZRj1FddLzxnwWfd1mQK3O56WagzY2wF0OVvi2c2K8J1bOZz4CxJEUqweG
MdZoMtrNqEoLL9wZhA1z90299kZTPx4EB3FktBvXa2w/Wjmoc88bwA91r6guW2XPSjLHBYTL0Ndw
Si1nSEPaaSEPgZ47xDdELm9x7JSWaNqeLFQDKNQVwGWA6+fF5pZkbXIJKu7ob9o8TC8Uis+eFJ6c
EcUfxDDzdAvKHraZFAfsx/EdWRg5yJoJCF1rrfYyps99BRpM4uykjiGOya62c1iSTcjuLAaCm/G1
CodcxVuvSVUNQzpXZrnYSO8v2sKhVE15fWkZJPLMzG3f6Xgp3JpQGUdBex7ndVJOUbwfzaqM3qq+
Pt3g7NkNNtSeLeBqF1J6c76pip6DniN7XXVh/KDAz9KRtfKRrzluX0WQ/po2Vt60DRIH430bJ7TL
c42XCD8pcJg0H+P2bW8UyNF2q2jW1AU9IOa7d6hF1X4OYH6n+vJDA2SqAWG+3kbQhwqkY2HEVVsr
/hhXnqFsULNL+OC7T35QLNl87+96PI6PSxF3R+75ctkOZpXJXJviamSjyIgT5X5mv2iWtiMeMBcW
n5qNmDUBUX55x2lFQQOdm+I5L/vyuskjcmFCJ5rENhCFeu58DAXUhfBxoqvIxNRLIF1kQpAA8uKj
QDVI80U1LZ8iXkaf6kChkWG8Wd53wE/3pezENcjW5Ewtc/0C6x2OohjXz2oLldNbt44Az6rBdnoa
pL9T69yAujLOzKSkqCQoTWxd38pikDuxsvn9RjnfCdBsHuBUA0CNbqznQvsxB7EtH3w7JLgnxR5M
NV/EBXDJVFT58LYaCO8Bvrz2KPxmIVNht3ibdaEcqjNhouD2wQ9DftoNHhWpVAu3OxuX8RX0E0Dq
FfNUaDyiet1VUzPFehlkQXSFB3kOPYytSRxdRg90VYGMKje0kSTgnqskX+fh4+yrwaRDVSLQSDab
X1YcE5cyz8tT8BC1JSBD+oeiFFDUZibjm3oSsP+jDHTWRWPCAcNh1veUlv0NKKFjrQfgQzdmpSqd
4qlIIozEeTUyeR0vAT1XcS+tBi9ocQZ1F6QtgYOddS0HdrvaUJVZtQIk0PMwlm1WVFtXpXEEFOYo
WTPlu3li9CAsdi6tawqdJTu1EvR5KBXTJa7GLtdghaJIFuXEnsde3liLuz7d1CxBn1GWvpgmUixt
FYioikXrQyUj9CSlDeHg5g0qeQ2y/6uWb9pW96FfusQa02UWzsQmJbXFCy5cdeO3ziSr6uJqBxhz
a157KNkm3PA2yHZMBzFAimpHyXcroDaT0iXGmSqlhDwVapBE+Jg/qLnHN6gFiJEB6lVRMjSK2Wzp
+FIDvrbRiw3NBhgtDKdqgxfX29S7XZS3SzYIAmFCoS6n4NkhznqD3ANRfYePZipslk980fBpOTpk
uzVpOzdjjbohLzV4FU7ypi+Pua3pKallcV2jBiSflY8iBgaEQc8ayCynRMCUxTtTUVhTPJDufTcL
CZ0WldsXZyt8MxC71gB1ap7avA9pZKItFWEBIw9LdPBk8BnPSVckOQIEqNdiQGnRep+FDYEvdiD3
aoaK7qG00XBeLxsGgB9v2yHysXpZqcjXfR41YrmMTRXdTdEEs8hyZKeFkDVQMuCceA/tifzMgU8/
rla9Kr80Lm6gcneFJrhS59DEaE87j+pOL4sjexSNIZl6YXYCakhWDLjPQAWuF90asZ1SU0JnDoGa
q1wE8u86hktYND2Dc8zoA+CAPlO1and1XJEIgsY6LeZ8y0E97UGYASU3XUwdbhyF7o1uiHWg0ve2
122PqrcCgWYZd6oE+Uoqdo4aDHCK1XmGef4ZcKraI4jJDBrCYwZnCItPeGj85xXBsSgdVXGeFiuu
PxWjE2+LLR4XDezAnM0usvstappkLfxytyz5cS19/DFGtnzLqgHiEi8CGmqcLWeyn+YD7WxxznlX
w77z6kyWVoHSLCq2dzXC9/2wgfLoKsdfEXpDdiVCVaEFpV2jQY0HNFtX6DODFHOoAJZmNQTOeDm3
NoATESDHA/RjQcOqjE8LstlT5wKAaNRU7s4VgHgBwvEj5wu9pZsjp4KP0dGNjGQzd+OqC8Onuz7q
QBKDzItPeSFlJpapvIPQyz+WHG+Q2vLQQXosKsguYVKVti1qrqDrV56RvOTHiWI+6F7KtdKEo/qS
RSQcyqokVxXeFuhQt8ZcD7Yv1pShJkpLFMRp3hTrmObB+NsV2+pdsGE6qqhgjxC78TEuB/Xcj+W4
G5TJoa+KV2hFRzON77F3gOrj2pyynptLaI/6RaMJtIzGQ76qQsDQTJaNObVtKNPQNs0+lz1omipa
TnHHuzS3dDmPLLxsLWASUNrbHiBr4aBpakm4H6DUlfC03u4QdPbTCnl7CyKevPNliGq9hg6PuoMm
666vTZeUBC+XzkVxnLwiF5ZQUbZ3cRNDw4dO5ugofhFABqGT2NfjmC4h8hcrXcT71/KZTXUt2xu7
0Pk9h6IMttx6J3dhcv6ppsua/AnIue3yltgDWRkgGjssSwr9dhf0BkL49QYlJaRWGTQm/yp98PU3
Fb8qin/dP7vX0x3jt6rhF53wt6v+PUREOGZPJaavRz7+vnR4BqeWa/gZxtPv1cPf3flVM4SzYfDb
iljBOXD59YTJF81QEpD/4BzJL0oiedUFfz15wk6wFK8/xaBEQs+ewVGlr5Ihjl9PmsGxSyaYRAwY
+T8jGYKU841kKChXRIKkKRFMR0F7eh3/3ckT1CBT5NG67ZuYbkNiA3KtjlVMymwMLKgEsZzfj8WK
bDoOHE6MALaCmlSsQxGn44gp5LKun25nNCuiBQOK523UXMol+F08l/7GzWur29jB6QbWQE+nW211
KINrz2FBTdpQNx9mFfh8uTI5LxfcoeG8A/GnumYhAL9VnJRVaq0R5fkgxIgzUzp7Q1vPVr0167om
TGwEZ0uPWiCpotyIdqYCyh4KBm0OaYw8wAETNh1qaLDeTIH1h36NRJ3GS/uBtW5RScjj8AQvB+Ep
R+iv8IKEOzFyNifQALC5hrZpDri5g1Me0cxnBzwT0jGjfAJ1n/TC7apthj7AuOTVVeVjBLiq7GmT
FgLOK5zhOieAKUDfq+EsSJ0DNRAgRB/oBjgnywdaiUTxmS9JVbbRJxdypTSov9UFSBLmoW9CdTFi
RNF/s3cmy5LiWLd+IspAAoGmgPfN6buYYNEdkECiEQjE09/lkVlVmfnXX3ZrcAfXrHKWFuEnj7uL
rb3X+tbOdGjbWJwWgissTxo36kzReGA5+iYTp60tkvdybqePhtRzmLJpbH+S1aOfVRh7XuaNXXcu
VuEuy2yBNowRN306Ge4gNHRLvQ88Mt97q2cfJEbk71RVnsxqWaGjcf3svZs+dF5e9JBSdmFv2L1H
oqLLSVg2MFYwuaLNQEP43NLGuhSS7Thk4cq6NjNNEnyyzocVW3qYNtd4pMV28noOlz5e5Q5jm6BZ
1aHlTmVcr7j1YZSeAtF126DTNsfo3t93zuvuKzsMezq2/WMlE//aLyLyYKxLNedNFKFoR6r76ptx
uWL+pVPmekeytovrozeMZMPCusugh5rciMR2qJDa7cYQvV0bgVmpynp5i10BfafUfI++wLwuXSve
Qi470EdrMmcJWIp3VYzrU9Auy70uYTKF42Lh/PH5TgZJDW8nEpj9+voyBQ3fTvhZu7hZcKcFs94Z
MyY5qCP0Yga/0rwOZOM8sV68CZJ3WwzFMQjGdk9UxbeaMr2L/Eq9DkHYZW1CXxgNVeozsqSGd2lv
T5bgMUi5Ei6F71w/chvRg6jwTufJT3KRCHPqC/R+8I/cS1fqLmPTtBzpqGlaxavNep/hymdu4FkA
DdWmNSnK+yAK1gdKbJI7LZc7nHW664iEsFS1kf5M5nB8mIoOVMAUBU9rOa+vMC/ZvokTx7ez7GN4
EKAtXptKk7ewld1r3Y7TJ8Ys+Qo6D75cMu3DGj9b+oWYM1PDaXdE9R89UeZBqzD4OvMCVEdPYv5E
xORnumqEn0k1RQIOu2vqdJFUbmbqVvQ5jHydVzm6tPNM+EJIX96FtqnzYbbq21LK+C7B8PdFVp7Z
VCoqoN4wY6FlxMXedSI4CNU2P2IDly1twTZ06ehF7k7GGlQJZvjuk4g+eL0dhGe6xutnFc8zWqDZ
b17W3o8fnFru41agcV2qUQ1ZHAUz3qfX27xBzu6D0rLydlO4aIA9TVNc4RRNR4ca8VgsovyJyX+B
Km0X94YmtxnRV/ntnrIarTl0bbiPQ7tKfPO0v4k8hD1PXAckmyaxZmsTlY+DKvVXNoR4+u2kO5jj
XXPvC2ZJ1nE9pEOQLOeIlBB6oZutwGFGnoc+q9NQAPkgiT/AJ8UZGAbXb0vwi2MaFuFwXP2o7/Kh
gZSd62Ba941LYGhoV033SUAxT7Y1HpKORaHIkpGYx5I0/U60C7RmKybzJGELbBij/cGXnJ0oa4rH
sgnDj2LQ9VH7a/HFm82T36nlLMtppmBOnHzgA6sVhsRapNasBFwDLadDvQzEpYHnyCEIHD2zOkHv
19cVYA/Gq7s6WviVEyD1qA/ehA8COM3DzGDy7jFej0+FL5rnypbRFyK9eWNtGZ+CpPIfqJbzUYSc
nRti1VHUk8JIPVXdpq4Xfqe0c3vbLtGxlgN8L8g2mKihOAtvM5qRedtE9CLKZsb7Cx4F8sIq0z6U
vSxPZLTs6OAxf11Mz7966Ch3PffxO89gGH8E4wg+qRXk2QYi2ayhjjdJXyXnchi672VRzl95J1dY
wjQak6z2asgCq52HPVQwCeRnbDA1BPqzMC2gx1u3sUc/Sbe2p57LSYTRbSyW9iznmm7b/vaJOioq
TFBRux1X5w5VZesHLw49lg1+orqtWGrct0nH+yuHPQHtKogUkMbZzl892hRLWilSPFajmz6pjdR0
F9QTXOs2CWuL2zPWl0KAt9OTcA+DchI3+2CGB93Gimem5SYNlIzDrDa46rSdelxeltVXY5ZyG1eq
PVaRgRoYUkl+xGou0CqTafazggI65JGb+ZYQ67+wuBGvuLNrAQitG8FK8NZ+0bDrTvBWuh1nEX/h
sGKyAJO9zpJWljqryeSdGlGs/kFYo5+p7tGM96OB5td7fniqNNCRtvPh2y3RcBAGU1sKLaU9WjP3
p7GNyePiJ+QY8qreFsb3siApm3Rt1/l+1QYfCEfRTb14HN8i3refVWLXN38e2A5Suz4YdPC5XNHn
86IPzxgGCOYIZtjbSAa4tSMEUp5GZRgVBzl07CKqSlwx8tdvLQ/YBQ1bH+6KXk+w3wxvztxNyQdf
xZIugr37MCN3jtWwHW98rCjDNedDFz4DQqwPFVMN4GLagRTTsYlfJBsnvekaDpIsqpsPXfrzK0Hp
7MDZDd2JVwHfVOMKS7ZeCdT4pamOTLTTwTkgn2TsQRAWHnhRCjXQk1JkrZjtFwezVaaiDlnW0Lj+
SNygR3BkNNkPhZ9cqZsqkveBb38WkeGbaZHZgMZo43eCpgE1X7Xokv084/hPYx2doDI9h64YdjO3
T0EMc2gIG4DP4TBiULYJKpa0kb9bPANYs23K5kngmLz1i4+pvbDrXsyeVRvg2eKRrNwux8kDzQg1
tBvLjUaG8J2b0X3r4oSI1KGqj+nccFR1qQoz7VfoXlUGqAIMStnEJsPXvKYLaFaDst01H6JnMz5E
bm3qCK7PXSFJkK3VBDDSaTypvHVF3jrPu2eteG78Mr4vRViA/5Cxl7UUczkkvykPZLsUKIat97OL
lP881pLuZeNw9bblsC39KswaYenzHIIZknK7hvjrykQXo3z/rPw53MxqoOnCYUbGulIHFfg6i91S
3ptk7HKPBddYieDK0Cqn/eDPD0XfinO9NsG29oRXgdbCHZvOBamiLO7nOLdFS7aT4vIaLMtwLns1
1xvPVJHaQ9keL8OKZhFATsReYcTdRLSxrSiQIe2xU48G8XUqB5bkdAnL1x61DjeYix67eCYQfCd0
idug1w0cby/hXopUGk4nMNMraOvqvoxHj+GpcA6glVvWYzLY/t2A4XhJGubOrImLLg21Za+GtdED
il0ALKj3qw88wP6Wulmjhfaowm3a6Kd4XcpLV0cDKurYkpyvXXIkeOOfnFk15tVcxn1eo988aGjk
0DpWzQ3G+dH4+06NZEsNNdVeQVzXqJou8PLJRIWflg3p+2z1Fb6lsSxpFk4mFpsYGVaSDWvofb3Z
ok+6LKATj+jZ805pdQfdcfpoY+a6vLdOX8A0ZH2YsDEz0kOL40Lr3yWGNR+mXjChAYmQ6s7oyqfp
1PdNlEcVkpYp94piyQO7zEXm68rQ/dIFITpNHOV9YQl/K+BTFamNCw4lJMZRzdTUm/boNaFX5512
PjC3NXgzxgvL3cj85ARtfl4ySUoB3D1R7kG1g5u2oWzDTzOEZbvrejW4beGPcZkim1GOeVPicNyN
NMTI0TQtyOekClZceg2fcVe5RzwzM/h/ZRYAqyt6DVT/E2zu/TApfVoQpnhDWYoeWYvrQEiAB9q6
EWhfbWp0U+vbvJaxl/JKLAblF8DaUPnNmqIkwej6fyJ+XP6+O+Kv6sf/txIJ9kEQBGT+nUKS3dQR
gQDPnwCr4B+v/D2dw/4GAYLw8H8oJDH7WxzcgHR2i3H/USJB7D4G7w0dJEwATyUhSKzfJRL8ESgr
pIoZTXDr+dA8/g6U/Ql1w3qO3//9T+GcP0NVMTYrJJxDHkGKnEGsueWW/qiQAIaNla+k27F56F9U
38bvPfzzS0KKCig3H5aP0fO/FXUw/MRMob/Mk3EZs1U1bUIzt3DH2mETRx5/HwKLXkF1ZR4kovkR
NeX09t/D+L+vOPlnvOy3I/XvSb/LrS+Yhj+Jdb9O4u1lv51EHt4iX74P1S0CTffrVP2m1XHyN85Z
zCMMLeR3iu+fah3DASEIlwVItqFW/+MoEuRFIWcjigtYEFIb5LX/4CiSBPLjHwC/OPEZ7rYgJhFH
5iyAYvfnsxj1RneeX/O9HITauwpQQCmQcRkx9qNVIWUWlctznUi9w7QboSVZlxdlRu9JB+JtKDGH
eH2yPpaFWk4xme2jseFDoOGu1msAWnsOBfq41t9GypQ9aKXiNSSJuoy1dzBDwXFjIa6A9NOjp+sA
Is1SfYu8GrSNlTojtrmXiYTF1kgFT9Uwh5Gxn8KtFwu+5l0EKwE6U5ItxVik6+y6yyDDpcqj3vmZ
qlqYv34BHair472ngVruueHLE0y46h0i0M969XQMkIH2Awxi+UUQ+W3mxN+LMETqhrWQ3Jr6NCe4
pw0NTa5D9+l7WuXhpPvrEs0sNV6hHmXZ9BdeR3sH8uAm7YElFxFwgmEG99QL9LSVeLcLaGo5wloF
iT7iDaHPhxFLD34A5UKiQkGAmSD/ERVkBkekTudRdY/+LH/MkQlz3LhFRivXGKBXQGoS439RwaLw
owptd460ZQaitHyyuERHOntPdgKcbRvm7Zo5KnTehYX/EMHwQwtTzlWTrTqwfhYMt59JZjCH8EsB
LNZN5es9xln3UAA02I5QHsc00oPNJ69hZN90VekhnNM0p25pRrktgA5CnVpMXZxWWYx2WyUQ22xr
ptu8UQwHg7at2nHEX479GPVI+nF0crmNHGxz5HIAVSLw04RAjkP/O+vp8qr1ogHQcRODN4r73mVW
qZFD13L8fozrmqHzCsshg14O0g5NPPfTBK7i+2jYcFnHMew2AeYxkZVBEd5VpVZBPs5ekA5jAwsM
TjzGOW3vopCa4MHViDJkXBpPp34YN/EG9g9GUT4E8/woh7io9mhup/6IE0ZBliZlueYm7snV82b9
2XZCnTAEliW4wm7odpZB0kylE/FxNGBg0jmAU56xmT8YWx7gdrKURHORllG9QeuqgP3QGwAbl5uQ
XuEAvDcmvl9k4+cQqEhmxLCvRrCK0eBfQIOC1qHto6X2W9GFT5NmGxeE7io43Ueqvqh56qF5FDmt
2wOrLkxBndQxR/tVrtk4tPjKyBzlo3LqUPo1vReOej9xnPM20fA+/XsyCi/XS/Lg+323beclVShR
W65Il+OtftL1QY02NwleEwTdu/KIfDC+f+gYdPZ5GID5VpjDiZEsb2vvRyia+ol3XpEyzwAHdblx
ACT7eYBsFiXlvomgimHMe1bUViDPYmTZGsA8fVzWMNoVcFLnSYz3rcncuvqbemy9r2GIORDD0KJh
v68Us5nt4nKvEx++f0vzOJRolyUHElEEur34QrIv3JVPpFECaiaZdnPRdHhkEOILmyQPKED4aSri
72u4AisO3AYalzkTIpeUFqAqdVMcbBQ/ofRdShnBmIYsfEQSaDuqaOMkUODQEQYpZtipLpl2iAX/
aMCmpAtzP0FTIiAL4MYCOEEmNHn2Vhv8nMek/gYM6/MPrdK/6DzIr2jmP3nuJEw4bCjGAuKDEo/j
+Naa/MGc0d0Cp10ESFqVnQ91BXE0oIs6yMuli+6qluEp8VYEwzYRLEOknRbxXsoWk8ZiAWSmis0V
6uTI8NSxtuD3knQT4qhLPTicS5FQiIB1a0Fb1u61HXTw3QJyQ6gP8nGRxd1NRGrUCm/BtROSvks3
2GMdVFO1q0rmDQjQRCgWuitO1klrt9GvauL9qiz9ryqDaFBzWtSCnNk0upjs8VzavBpuMz+yVNDI
qlo+jtJzcdpAOD0MfY8yNbPyOynA5ZKx3HYVm85NYbYz9+l2EtAzgN+e/bCaT5GvT0TW1YkWUm4k
UQuEHF7lSgF/JxokvJ3o46oC9GooZ2emi2jX90SDBxujLGiFydVS7KjW5HibNX8GSatfBlu2m55W
Dc6q6RXE+jqYlp20LeLXDO7JzhQrnhbmS0SQeZigCoXA0Osn4RD5PEHiAC0l5wjsKTiMhTNoAz2S
QiAJ9GvV8/WeFSxMDWxy0Q7yBOoyvIcZsC4Ie5b6A0UBhCFigNuonds8blcgVIr18s52U/KjHKNp
I7R8GJqWHJmPBXItgKDg4odBfVVcYNgah9GXWTMiF3hWCWGnavHiO50obxfbKvyeFNbbBV4z3hce
KRAjKcvvRS/wtC6in744KKYZ0H1yV0ST/yAsa/I2CL6FTRHs/cWojQHHDv5JDfdNFSKpHpFdo1q3
C/rgiNtuSBFosaek7JOcLUO/mSszZAa5KkjPENbcuRuj96pclw0+uTcAmG0a1gJCSMndBlGWW74l
eFZ8bJG9XfaQsiXuOeh3C/1R+sG8Zb33vafgzVMdBrsOSUIay7xCKBA49cmo4q0oaQ7h9NDa+RsS
wWnZchhCtoE9P0XbZZ1+AEoOrnVPf7ZhyS/11IV5EPvDNlm8ZN8G49coMeZYJYHNDKurH47z+WhZ
YjDpEncwJloRtkCEUimwpNaa77dpItMR/WFDmD43JyRDSirJVSDEKZTex1qpcqccovK65xcoGS6j
9UQ2WkObpXHQbumIBHM/GZ3aaFgz1k1Trm2TcXzZdTjLzZh0ObqEbduZ8bJ2wZA7iLa7OOxMphby
NJTFAgAiEAeiiD4jnMzQfATsWi5x8FBH2txHutxQbsXBGxMYcjP4BWAYsTgyHhHM4Rj6f8IItRvQ
Pd1nbcskxfXdbsNpBcptIpJSRfCnIipzCIhy18+LxA07EfexRLEFQb84AhdtGm8cn/LfRSTG134M
AQ9pIeVnVQi4Gaooq0xO5QgRhyym23nDVCF63w/qVNzu6OF2W9e/Lu7u1yXOfl3oNG5KsU9+XfT2
16W//moAOhjaOl1+NQbw3tEksFu/AFdx/O/o/9tI9S83SP2PaQuswP8OR9z2djR/ZSN+G7fwut/H
LXAOmGXYbcgmBJgDJqffx60bGkGwYINQH6iDTzF1/33cYn+DWRNyXI4ANAj9w+RPIiwT8xkmf0JZ
hB/5H+WpIED8ddyKoC0kQL0ITxIW/3X0XxP47bjXFBLS1G10/LXEGJPCpFbXCoLzWTQTQEZPvYCp
Z3lUT96u95fm6xJG8UXicUsXA7w8Yjqtuvle0xHpPJ28lKHieTPwGBEdEYvMIbI+16F9sEN0o30p
2OVuQqi7qj30PzC6kyr8kBYNv2EXZ5A8TiKxqWIp0tEWD9ONiAeMsPFrjANUFi9LVSTbARU7jVV0
VtSBsxZBs7M1R9UmDMQnXy+42lU2YmKBCueQ5pAGJlEyb2eDnpPIBOpxAvIb0xfNe2S+wATGOaRa
L2/5/NBX4R7f4I+ZxCCC1VkBgXSGPAoVndoBsCGZRDa15DMKxHL0qkICaKyTdUeq4Ungs71rYbJu
7ep1O/BuL4tfob+cz1OED5OPHZhjh7csaH0F6rHrPUSEdNdfKMIkMN9btRPL+B07FdZr8QofVKSm
R72t+glLHyqk9r3xFZxw3vTTpgmRVFUhwkuJ/hxDC+ODyS0E/3xJWKqdfO55eag6RaA1zuhquw7j
RAD+f5V7z00PYBzspoQT9QJ/NTrQWIESJggA1e3GdRM+mrgv94inVE9aDY/Vrb2P0NKUJmywIAMj
r2xVeBfRQaa/umVXIGjgSk/ukjEssiZKogPhq3umqn2kdY+BIaDhlEtVuSe/QbOB6XPsdqMny7uF
XbiKXqgvx90qmb6fB5Ado0VT62NmkgvoXPZWNu7aSICnCJSEOzlDmR/MwcME4q/l21zOw2kRG+Si
Bb4qcwV1+1lrBMwaXC1YFbGP0ACC3Xe4bYJNCLDBB1iJfSXUy4pl9dOO9FdnfWx+mOFrAGpMEuRn
endYjP9SqFfSdAsAONB8C7v9t+Wh9z2sZOj8FwLQI0scUjkIVhCz1ZXGvZXMwa5H96qj4GtYeOK0
gj5tJL9QKAyhr45x0d9T+J1WSwwmAF/XKviwg4/XiFZswoknT5zprS4KuOLE4R6mavDu1opG98G8
jlvBg2qnaRJ97yBMnMahFpDRXcTum552gBWNO8lwSL5GQ19lfNLlyYPUeNDBMB0aWTRvEh6czZLJ
iHNFEPCoZDnsXTyUzyZeuhxH1Rxo67sPiNEtsJO5va8YtQdslmi+1K6In9YQFj1o3Rr3ukZXxlp+
6rhg24DN83YMgvIweetyUTZUz+soluekU9NRwg5/gZRutr0lAwLOHcdSwMLG8Moqew1nHl0gl3bn
2ibzQzBpegW3MR1HfwB/iqDIJi7bBa4yHPe+YfVhqDiowKGtftJwmdCLKjf86FSN2FRr8amv0ywu
suPzOSqa8dQUCdjF1mLCTJLFf5yp7bH8Brk1VbfVi8OXdQHJM5xxVOIz9Wb4TWE7AgQYBFLXqot3
QUOaK8cbxE4QCBXyl2bxh1vmX0xN1L8Jsn+emjgJscsEhRs+LhiqP09NdY2YCzUrZvWybK5dOLT2
II011x49fj4V/pJ3GELgxAUw1OZ6zWebqE20IKkejtMLs8bbNtT1eAqkQYU1AZj8UvhbVsHnQadb
fiDUA5FBtGV0z7QvTyPa+PjWz4tbZ9+xQAOVSJqLKxt8UX31EsFsT4eQR3uzWJXZwGAycNHzMFRV
Ok2zumNTmch8xraX526eibeDod2vUJXWHitUNH4wEmMVB7ITd1gjsFbFhBkOkdCdr8pKbizybx8e
oogCLhGGl2gN9AuNq+TDkPJomnHdeiR5nGJvpwWYMUfZzdGJsn6MsX3ab9hOKHSKFFEUdxuXJsxN
3TKe0Tg9FUOcZF0LAsQCd/AaAaVMF2ID9rpOqTetWTwjPhLApjFraE/F0J5jgcdfCOzeAGa2nbUg
6PIGh10iqk3724BX2Wg+ajtDHywBLWiQkNfWSZAFPGjg+GMw7FZsfOimUl2ndY53ACZwlMCNwdaB
XH+euyg+uwnrgWDHcRjgfvVS+SU5l4L1V6yk8R9bWAT3VU1huHJhxxO+6+WsO4bYqD/yS8CQdUsT
jCY/4lJbrGOIKbaBY1dptgzFsh1uT4q7PTPJ7ekht+douj1RDVIYx6pY6LX29PLQ9aI/h77G/VwZ
e+1mXJWaDeZrj6QiFgjx0Gzr2xPMb8+yf3uqi7jWYOnxpEcBbp/O0nmLHC7biltFcOvMTl3Y1pAj
9e0cIGOT3GqIuFWT9VZX1luFCW+1JrpVnfFWf9ZbJRK3msS9zj/USQCWomQoWcs4qLchWaeDrBUH
iD+Xp2acqsyOLPkqG+JOXeF1RxBA8X2FEXLMOP72CQ0I+87ipNpBDR23thPsHn/bu5v6EgRF68KN
EAiQZm5ygCmgSCYg0laODqWGZm62Ca+xqYREsZy3yN0sMu+7hakswJYUt1dhpexVxxKp06iPgEvE
3Kw54UvEIRbwQh71asruDa4vEnskqjvkcTWCxntY3rY8E9jlS9oagTTGNCZ22tBGuxmPneAQBUEa
hvAXK+x14G7py41aI4BTSxStPvaHMHUzNmW7S/qR3lHPkktSLtEDRuVg23AKGUmGwaNZh6jO6Foo
f9czhNKQyw0AARYSwTfgTsU3CuVwBgPfQBsd4rXykN1DoiazWD3VZDHK5jukEOCNa6UD1BZEsjmO
GGbl80BH8liPPT4X3T8gbAH/W8p54xvXwQfW4A8Tfyvj8WW0Z4ZE26YsfBBFvLuECA9BI/GKDD1q
BSkY6+IQmVDIwDqgtrxccoVNOikN4xkAvPzS1XzeOjl/DzTtMxhW0J8duS/8fr4iu0EyZoZvIv7W
9B4/OlII1BvgBXbENUBbIDky9ncIDT9gOd6jbGOeL01yHxRzgaVzMctKNfgbYCgxYoQLEMC2UJkQ
WMuUeI9tjeAoEwE9e7j/N/7afW+Q4799R4DaXAc5qprvcZ2/rEEnPqNwRg5qAoE2N1gXImssfVnm
dnwNEt/lMujdJ28DnEHgkh3NzG9yxy/p47+u2v+lq3bztf7tnHcRazt8VX9x1X5/2e9jHv0b7mMC
6vZ3D/cflhqJCbz6m7JJoXH+YcYL8QosT8c/1I8CsOn/tNQAwEMTReVOwBICjv+PLLXgz80C1nKE
2DDNgYNizxDWQAZ/2R+2BGaFkaXsHqUfifxad7s56tVukMEVuzL4ATfsh2yDBYDJ9JMUrLiUkaK/
CQm//R8I/kXTguH1T03Lb78HQRgvimFAhuzXnrM/SL2Ul14btIXds9o0+xG1J6T1toX0M52r6hSC
V2f3hRLXScwSu4xwpZCyuMhqGQHp0Oepj6+GgER6XcWVQhOlErk5kYwgq0EZzyw+dQGCWDNkmTAa
H1Crd0EB8DvqmJ/708ts5BlRys1S6I1UWBBYL3dzXRwJxVIdjwFnU2+hKu88idyRjOrnSdBhY2j5
NYzrNkfNwQQMXBVzUzl0mxtbnk/JiiVFrXg3pnumbtnWhdvLkt7PHDG/MERcHh+soXR8rxiAwrJd
/S1y22m7sDNYymAbVWXmyKX1Wmh9FGrkG8zGxxLbHqHlHk0J6ozGR0wPmcROCj/un7CM8CMB/Zi6
pb7yMMRihNJGWD/ZJnsaiTfeKmxwWo9siX62FfQj/wt2+73cjArkoy9DNDyyItghQLQJFizrATqc
EsT7MyzMxg0Hz8c13xBC/iF6yvbTihFS1+wTo1txgCZWHRCkVfu+nvp8idfTGMwXD8MC4ujYrzED
0MUs/qSaErH1R6PjjPnow9ZwfupBYAV+uKUz5MRnCisRt9hGsHxk87GX9EUliBz7HqBI89Tr5dOq
5DZpfawmTF3nc5CYHcB/sXWROCHvGm3Vgh11RbsZY/6C45XWWCIKaDwNg1jly2g3zrfX0ivei249
WUYfBzhrmGSnFywGgDX0o1Xqanx7mmCEwvrFZqRlndNgRDhsICAmiybny/hF0jEjMKFTiB/vMY4m
lqm8CABnaeHrHxDyitRVCmuVJO5v39soOX73R+wBK/wCgKM7jgx7nYIZufoK+9OC51C9xcOw3mH9
Qf1mVzSVdfhQwNTYJYA8sVyvnA9IlOWxrU+x5jnr9X6s6nc2YeWG117cetdFLyZUaxr0noCM7D8Q
jAWIa60HLEB9uy2/2CM7lVtZYdVUfLZLn5cMrSr2eoXAU5MOoTFQqUMVIV3v2nPIIY5MmFywlON+
XIpmU0ostsN6WGzhWqJc6KiGTHP/f9g7ryW3uXPbPhF2YS1gIVwegpnsqE7SDUqU1Mg54+n3AH3K
tlqydPa+Pjcul/3/TRJY4Qtzjq8PxDkvoB+6hyY3ck+hEeU4uI8iigQUZV/Lud3PiXXBgrH40NNV
oomaxEnU7Jwk9QjvNhNU18aJLip1MI/dAxDyhlI8ZFkGZcrcpvr8giR330tAg204rObZetW4+U3M
hywNe60DYCQLJanrhQ6stbdui04cQ0n9X87PMAnVuursz5Fl2YDwFEwr5SGgQ8U33tmy2Uk5evns
2Kc+HzZBFX6zepNbPl62k8S73Q0U8NUdsJ7DmLhf8qQ6RJ36DofoEFfzw6SbwcqURYZLP4ehog9n
Aop4W9gjbbo6flwIVN7s63eBgQIuF/c1WAW90XnyNAUDXTs4ZXTDXJxhjXN18Gg80ZmLoOpZ6l7V
/kOWxtVqyssn2ES7PvRNELmhoEZSXgqFjn2yXjK68xb/A+i1ZJvi4VhPY3GC0fhsz/Wdn7efuykr
96EgBkba+YIe4RMq/mA9ujej3Z6KAC1cVj/pmntH0PW5TVGII+/rwPTpU/cZQM5rMtnZri35HZYG
jabY1P2ECxlT7mRqj67D48lEBS4lP7YdcvguQTpZmQW9dLuO97YzHAbd2YOx2s11+W4k2S6H9u+g
yF8Nk3/Iy1DeVFgTca2Wo4d/+wdlz5dRjUAdEnNTDdO2MsgKMUY3m8wgHcPmt3dm96ukPrXIgFl/
rb5LrVD30Lc/y8I4j83UbNhht+0kXis3v0y2XW3MbAnfs+ZrnKDpZB+uwnb43Lv+fa7R6hycs963
tzM1UbhONh2wOrlBwHCYA+AMsFJWeh2A64ua88xjRfpwk/QD2CgrWuHxmldTnWGd0kzHC+tAefXo
bww9ObH1Di3lik1navc1WRCHRZBsRKzdmLrKYT1G3+ui3NFJfKRH0fCYg4cmRS9vsx5qhyeZbGrL
vulc41DM5nFohk1aH62w9RLbifYFcl198o+W+twZCZWpZhO19S4BGGsPuVcVHEJ64W/b0N+V9DrL
4kvY5DTR7Ne+Focxdddtap6Gpt0Pfbn1jXwtXJox1IwPeoQeN4lb5JKfKn9Y093YT7B8ixZCDT76
Id27rHQnFW/Mhrqj77xPZvC/truLWj9Zq8bfz1o4r8e+frL8FschuNcQq/fRql8dF1ZS2q0sHBC5
K/dD2p2FfR5nA9tcBhonrx+02biZRk4ucirof2x5Tdn3agx/lNMp6O1NYet34fie9dBvlbWNlzKs
bry3fgGEqsMgnIoT8ZvXD9F7JPPvYWDeGVZ7a1j1PkqCJ30iE6Ejg4DBfXOoLcbde6uEB3vrfs5y
r1H1rapGNmHxxhZ5qSZ1tNMvvZNQss6/UOJcN0l87vTuzo4tzygUx4sf3igOrVn0DzUCUxuabIfi
eiqzu0plX7JAS9eTZl5cu7rtO7kvxukGR3eG1d6gJC72mdF4AxzXbu7ewhhYlpr3iYi/zXV+od59
CrUbBxpBDjnBUYVaWWF50wCVylLReLED2fSTzI4Gh0I4wAZ4BcBJUSrzqABtWjDCg3Ezx85hkOmd
7kY/6IOSVmIpxwHDam53mADSHjN5mOg3RWD7q9StzoGZPNRQsYfZeuyy3gsDeutZ+zm8ydOzbJ5j
M1kbFbTPJr4FoUZ628A266MXO7LVirb5BlmuN8T39rzOO3uXjsO+yJrvpjuewijZjxUPsJZnM4Ol
aI3pwcVHEzTpySSptmzrpR7ri1t1/qY18YalffiiKq3xVNLO3hhnzyMA8gc0N8LDiuKsmDVFYFMU
0a7oDW/QapwsqZe0kgadqe7pu38O4olGfPfa9KCRpwbRuFm/1EmJDWdRQNUbtahjZL+jsUhj/Klv
5arj4AU85RkqeySlzTy/2U1CoYTUPBnc9INyvSEcz67LUveR7wzvaZgBoXxoK/c4ZO49BrW7uDlq
0bRGvu2Nj+McbotmG1r5XeUXzVqTNUXuMOT+AI2kd48dV9GiUljFw252nwNbvtLSfMQpxnng7KLg
CTrmrjXUvotMKifOtqy786hnD724zwwWEMCjOfqi0YUYK4FtpVOrCXXZ0O6tQZ4RHgU4s8fj6DbC
Gyrr3aWPz96ciuA40CWJ6wL6DIlEWW2j9hyJic6J82QNwdYx26+Rohahu90aITiOVOKHTrNfk9YA
x1C9VHOwwWRy6OTJdTQPCw/COULS0beOFTxHkT31ahNQaxm87ipL8m0oIgAjngMdh0Dex9HRtbMz
SKsltGxmauV5clM6VvZNU8Dkckg8B983ILPptdu+qSEp6MWSXM+RAsOQttM7RAjnHn+4c4OirP/e
D3DGzMTVd0rF5A6zBX8HPJsnHTVuCiSK36wcrIFjZNYJLh1yGg77bO/KMnmhMuBsUpG5j3Nv8CS1
NvySEQ3v06j07VWsKbFpcfkeYxchj4eUMdykBkbhMY0Owp6CvV2b+g8+0vlmp/N80TKQgJkCqunr
sfhUWDWuADto75xwqo96HmcnXbPrT+R7xMcEZiNN57x5qLLEeHL4xnDfKu6WOByQ7zXlqejNpdA+
SfAeAXfcrI1r+E/OIag0fDdZn7q7rqDhlCNHgztVlx4lqfmguWVzI3PbP6Z11xzdzoZ7k2ikXmPt
8twLq7xpTRgeuZxuCkeCX8I+HX8qnNZ+0Wt9+lYWeXWKW8vfBtaMMXGci8+jgZ8hxnP0TKLD/nGa
ILs4sdW94Q1TqOH7MMbC2KonnCnhIyTv6aEZ3PJWDLV67E28k3XhhqfJfOmB1DVOX+/cuR0f/UKY
z5ppQgvNo0l+Vo42bMcKsIs5j+lDDZvqdohmyqhcmF9CFdm0sTrnJOJxvKBNyO8hxLT3SrTNXdqJ
+IC9FC0iLL4VvAcATUB3t2LKgx36k3ZlGdDbkh6ZvUFrAP5NnO2AbJQ7uhmcKsmEOTUMfImQA6Ul
PnP1anQIAEaOpy8x5pDbcuyMvYk5+qTNKCOsOUcjkEb3xfhlDDsvjrCd9G063Uk5cZPC6us/NazM
SUTo0rJdUQjK/NX8TaUxdSVIxmpd+v0TAMZnJ5/vrCr5vLDsTcVQhELiTaY+Z7bRXrPGUxXFm6jE
bKToHWm6E6xNmKwKa0mu22/YNw8U7nSvE+Z3K+Uyk/FXs042UxF7fZBs2zzb5ERuXAymGvNVSRf7
1glMfZf79esoiyeZm4cIl1NKb88UsxfGBt+4ozN7K/X6RQjEknhW3+aZxsDEIMRNnVlPvdk/+5q4
KydauhonEa7e8zRqh8CZ7pwo6A+lqMy10mS6z/I+WePIupucbgXkIPWKON9Ak7qpoqHZFjFBOeKv
VSfNbV+327zR5JpJC90rzsZVWzQ4u5xV5DpbDN3vZd48/6VDY/1c7HBMOv2IrBW5Jup9RPwfii6W
ExMxKWvYW+kraT59vrEb78YB4Di28IkK9KLVLYL5gfMpfBwiSz0x9AFACK5zaJFW3r85CUZe+7pV
kmXXTMv+UctOCpc9lSy7q1r2mbjuuGXvFXOQfBqMnAIKyp2bbtmjzrJbsTvPx3TZwf51M4+B0Rw7
wLzHwGevT8uud5b9X7vMhMiyubrJ0CXD6RoWS3+AsjD2kwkzbO3fIxGX23I5W8RyyszLeRP4nDw6
hkt8O4PxZKuJc0k0xOdBGLaf9LhoPulFk51QadXHcq7bu2AmG8NoLD5JX3HmLaeftZyDajkRtaAQ
P+RyStZTG9G4LvBAVyEF9+Uw7ZZzVYvA2GfXw7bDV7OfEodpGyVxBl5a99GMkQKEGAxfesjge2cY
OL51aCWnahpCqruF+OYDQ9lklesZZcwlf70Eii4Ru2G5GZrljvCX26JY7o0Yyve7vtwl9XKrUM8p
XsRy02jXS4e3WRwCOmgAU7mTnOV2apZ7yrfT8AAP6EzPMTqGy20muNYA+aENcuZm/k6R8LTAMgDI
SNG8DIuUCGgzqqIpSuXrpBatUbbIjgZ3DNg1hhNvy4ACVGJY+Act8K1zRgAHhAjR0pjf2k2a34aY
J+FKyvC27Fl5RlptS5K2vaUtbT4T6fBXM1NdsS8cHWyqXrRi2yjdrtdRe/1EoybPtzMH6MLoa/bi
I82hxDdFkd4XeWx9dSopT1nMIYF5BAroCrknkQLEyHxY2SAILoZePvRG6vrrUpeq2oa+QVxCtuB1
lZZQ8MoAZsYtlksdNsOmr8AdkG3uB838XMPFRkLZk0nMxJUzyxeEV8ZlM26wej1hsn5K2zDbaENc
rxHOZ7eDnjO+goT9B0nMq+bo6sboXCQhpfncR4SevSZRkWQ9Tac2dLyoCtJHZ7C0s4P7d8NFD7pA
T6InW0fKYmGNPYaW9RSJ+MmpovAUV26yp43X0O7Vj4Eh2k3eh2O4BSxJ0NNiwO8N60skdGolInrH
KJogcmTii0HFbCPFdAblo6PH5x8fWBhgnPo31YnimCuknzmUIkbOFHJXTWmNlQ2fGv3GnRMW0I7y
QVuFeqW2FFMpq+j1V3AmD8SFQLesETy5GJ7LYnwpZJZ/GrSSdMxJw53Zdb2zCrqkOIfA6SHoY1oD
eA8+HFjPzoitcuvY8wyTvW+2/QKLLRzqmlirycCCReQxNl+GvLcPk0iit2jOvygBjyBTZb2DgdDu
Mteod/4MksmsI4TTGSrVWiy95RIQ6OTPlaeX1BfbWMFcDNyM0KLUSefvMUY44AyImKaQlD+EofVS
+C1veCJr9Zd8oHH7J/49WFyGSrl2kUw9gz3LT0WLT1iC/92XXLs3hW9/F2WTPSVSm1kFHChaln8n
i3mPAXiGmSW8UUT2SmqBeVsW4NVQGEsSm/B7g9sOUwfK+KRqsjVRgUDSHV2mSb4N6WddxTctGGir
laiZcvt+FhgnpyR/t5r5cRIFswScDudz2qbQsxybARtFFNw2tezXDIfA1quTeMCS47IqzPpTjyb6
2WW3k72KbxhSDCTO8bNdp3tRc3BpzK8gMy5rMC0iPAe2cZrsAYmMwf4aay4JQEvRmoL0be8rxK2d
XVS4I/riEEot3AdDML/FzpJkBsa0nUfkjYi1bBrucdvPX5jhka0N1ww9HJGaZyqKXnYbl1/jcDIO
gWbpp3BwoUe1ZnPnF3Z732PouFe+Nl58zp+TkJW9H5eIql9iq2qJsowl3hqukdcSg0mttQ8awLC1
f43OOHHNZ2cJ2eoleAPJ///liv9PckVsOEL82aj4f/Lv/xwrdht9Ky7MHDs0i36x+ffO1j//0j8b
Wy7eLlT6ho4sl7E5/9Qvyv+ShDcoGwFO0tRx/tXbEsZ/8b9AcLIgPzG1WfyLB4/bkX4U+kVbMHeJ
f0L8T+xiYsG+/0sIYztYH1FO6oZYQizl8Nd+sg80DU6WIhrrXTjQsYpVdslLoDRYVRrS7hpryJy+
t1ZUerObXAqBXhHSHoUd8pkpKjAPLyBFfxyU5w/RS19M/T/AYf+x73Vtr334io7hIvFEXYmX0/3w
FQ02py6SoN45wMApgDB2KwiXLC10z1x2X01jvLWabg0xuVklqN//0nj7D1/ANFxoSWiG1Ad0vkxE
Cb4GWgBRHK6CGZVbycARCLL+JoTdCBYKcmvnMqMGYeEqFnyPP4fDvO6Pb8nB3qozRw7FinMNlv+t
89eYkazTDD4KJiScBMJ+6kJ1G1U5QwX/Kb/9TY/R/Dnqvi4HPsjiYxajLX2xn5eDNfswDKai2uVF
X+zboHW3dlu+FVXmbt3J5eC2qMXQV8NGD7UZEruOHGiUDyoX+RmEr7YxNMP/2sS0CetR6sgUEcUv
+wKt0lgfuhztfw3hfaOV5ohY3LQ3tD/AGXd9u7HxLzHgS95XzL1i/fEgp8r63AAP1+vGWZtR5R8D
Ks1APRA4IasPbyaUAIPJas3mp0I40KNHCoV4TN6FMROB9ukF+a2Dlta/nR33Rw97HxrP65+f3AcH
MPuILcFoKZzE2ORNZ3mD//aG7DnXqfxV5U7hIdpg6P8c+/7aMevW8yUXnsmNvbKr3t3++XOv+uKf
d4cJOhtpjW3I6zHy8wdnpWuXjGFAItqE6YbwKT7YXBB0C2AtkaM062iBNhW1VCe0eyWpHKBB28l5
oSmukzQMtp3TuJ4iUVoZQmKO95msV9A12CFmbNF+SJMOnAYP9i/fXf6yrE1LEJUz+IJxE/TKfv7u
OoIn0ONhunMFXptKU+oULCQqo3cfwR8WUBXblLFcbUbC7xx6QxyGJCDrAgNDsoPkejmAzBEe15nK
Jq6YpoNtpfGj7YlfY6VG5FE0+fbn7/3ruzYRj6NFR5qAWNL9IB4kftH0uudrUwxdWtQcCugH4F4v
D7q2ShdXRut6mpnKv+3P3zwwuXiLMfkKHeHizw+sk5k/dG6d7vy+Kb0eKesKCVaz/vPv+yhpx8Ju
IXVDz67z4zhwfv6UPC0zQ6vSdBci2N3ZIL2P4Ggvf/4Qx1z+zIeVi/TblvSiBFJ9+eHtFxmcvjCm
ZFzI9N23/RqeXkNvOciNhgoym9wF8LT2exi0uZiTY6bSdwGQ5qGc441amJz+OAEhM3sXZKfSNuHM
/LC0YZEn8QAtg2lkTAaiLWVp01a37Fs5TjB5hs5ZJyOt1n4BrmnGwGyrVJcbp1A7feR8U2KU5DWu
timWjmwTKnHWl7Z33OHYdClvrk04pauJcuBKzvy3aoShGwcg2UoSSPBFuEvQYZqwhij5tU5De5mS
gt/GF5xWFwaFPGTl7B/9EsIRrKL3WpJENsswLt3N9xroFa9jfs2W0RXvVB6dVVdw5lYGCuqkd1lw
gvXNaFDcV2V6sXrWoJkEz9VczsxIcEFVwWXU2oTvbTzkkavth7CXG0O2bwCPKa0vp/eE/Pi1HCHQ
mFrtrMcxl16CJpVwPja/imWmQy0BIKZDdEFHAXwFU5wXWGnlRVJ9yWsZe0GXyUcGdBA8RDMX8Wxp
GzuN30XIj+4DdCVZxvcN2vaxlskPyEK9NxjpORiGHq0GB/fQlQ0oPiyL8Ti3HlrsN1sHumf6EObc
0HDWWDB8rzObcMsWy3cA8y6GyesAuYq5seEGhnBorGh3nYn3P8XCfSIDydiGzIakyRDuCH4MLhYG
oKaMC1jlDQqOCHk6wzXvCDB2vp1fqIhjZ+5KmmM2fVLKBMUKYTsVnSWDAhOzhZPynrt4HC1AelXb
n+YseU8RF+yWZuk6oAWzaoZMrWgM0ZCWnpPDw0PRc5tAv6Exyx2QGOThsqsA7JWs82K5MqEFlR6N
KcT+ffKuBRorljfLoDl8EQX/FwnrC1NNY944/l1pkmKPfvAODotFEHJa69HgrLWwOI92QwaYcFOn
c3Yxiiy962BkwJrQnE+NTLfUmi5U3op9OOn1yfLtJ/ql/EbC07MVYzC7vhgig1u81i3iXc6069qd
BpbNkoFiSwc1V4bRxfGJGVVgPBgOdfBF9ALeH/sdK1wsExiuC7ee+d6wsLf2aOYbkVk42p0nVIfU
eCs9+ccWyFhhQhgPTVs3a9UTfJpmOd/kIy+ri5ZoQ+PvFRnyPydkBRmC19/obJeyKxA3yj48Dzoj
W8WAGrF0WLQIFS/XL87XJYrpciZlaNxpgDzqk8Qf8tq5wMC6FgkHbXO2mk37r3DdahP1vDt7chP6
LfZBWMAYVSYXYhrtx3jsz7gtGSCUMIdxbH0Gb3GAac1yYNkYvmd+B0s3+ccLxlb9ANnujYkh8MTH
+B1lqLsk5ZfrcdHZyXsL6HrloKaHaR3wAbQgIfNyg5QWjpuaovqqG3iIJAPEQ7RDPaJkG9ef2DtK
4mMsHIq5FacSB1WCTIOZGrI4X28nV2cVA5xyt4wcQ6llxe+T7lOBjAukP02ClISRwjXMCHy5cs15
+h3/M1HuQnLMCbpQS0TPuEo48jT+bs9Zi8GPBzKqXc3gjJb4ajnOppwHEabW7fVQ6hTHC/KNt3jk
u0WddSsLxpvAGXog38l3GJaxIznxBZZl7DlXx0vPy71mE1fKpBUZ2ma5dqzCvr3+wmFK3pctUUXq
YbkKbEs+tCVf7PoOSiZ5RJmGgDXH6ZEMZwfvtifyZdlgZ135UmWbQtRvOlLds6rj96SEVgo5G+Cj
zmK8nnSOyWGiQuepmBQnqjVrG06T4a5xpnaD+J9BKuxMij4z/5ZDITBNGv/YLm9n1Fh5ai7OjGLT
14pSNFboeTxeT2IYQwRiFtKHIUL5zB2P0GR2nuy0BOHOv2HxTZxx24z8v6BlF9NXB06P+XVbLUHS
V7h6snZUyfXTcCKwhvnzy71iJHwpeNpsVUs9UFzeTGEy7Qx4sCt0JL23rLBx5p8MS8J0ThrcVLyq
oWDR1S4HT1qyrLKe08fpeTUGWoTr223i+i3CMbayQ059siAmoQb8wQqd7/Z6/mIIKz1cNPkOfSQ1
G7co9gxhapFPRxfq4Aala1a16thA9pycLYtvLfEOeXEpmK+whMNdFNPmHJCJAOObnvWwKvZ2xu5m
yjT18DHBkstaydvsEjvhO97nJ3p7ExcGXcq+51Evt43vci4mLVuAUQ4JyhwrWVtUYFYmQ5MgrtYJ
vtGoW3WIp7c2+FnebR3R0+KpKrHE58reQhJgPFpZcOFNbXXLKVmdIjNsD+YA+7RRTDwZjXBcM2LG
3SYdQxqLgqpsjJ4DafmAnNwPlb6v4TdcGMfQYbMTZrTtRdmvWriqO9cOCTXG6L2oijcwli1Gm4re
K+OCPhm4sE56DngvKNtPcV4FO/KcaC19Id6wmTHSKJtyImIjWocdaHnDmBk8TEFazaRJDKJeQoOS
4lWtQvteMNYLicFE62rwNVZCVRwArUZeEi4DB+b61hChubWZeHDU3eAC/wPRhi0p78Ig9iRDFrbJ
oM+nGd7eqsw57Jc0r2DKEd7piP9wmANJXz/EQ5BVt5Gibjvm8PuGIm03ysx0r+nqYjWmgUmMwoS5
MGOcTw7PErx9/SOeCdjaXjFiBWzbXvfLdgNK6tC61RusMZsR5uW8ohI83PQG+IHEMZodHmbGnMem
z8fH/LGWP2aKjr89M2c5EqLb1p06ppAcMdUMP5K2DveMIPXXwwh9jwTqW8lk6TiYvnUjwTNWGA4t
Ddh54fQJrfuW8Vf4zphsQ4fOEqiYcMxI6JEyAukRMWSUgQOe0Qz6pg/MNcHzvTYkHrhgwkS924K8
jjZOwDsNwhsN8xz2HwzrTFAD7XKsrdRZOVGG2soFzgfjfg2+LtnIZewEztCvquXUjSthHNrZfAgS
YA5xrZ9rzUjWecA20GNkoliltD2ldB2MdMauXTKfOcF6qc8cS1EXvQsMXNsQ9L2H94qrMA+nZ6Nl
VhJvePaGlBvIzC3/fYgZ9S2Fk77kEHhO5qy/9ZKjQhPNW+5T4siSqv4WzEz54SbuNrNlt7ukIAgO
x2reDgkRk04OB61ao1F1PcehwJ0xHb5XAYcDgCLmxwNE2HUlTOFrRs+kKo4Dg22KZQ36ji4ejJFx
pmkeAdiBBENJmSVKwrwzh+Hi9p2zS/L+IXRYMVDn0PflPYcmV8HyPXtHh07E4QTNj7SQ2xotW3xh
VMeFKUZvOqZ5D7LjQzNTG291rLT4eMajEIBmIyTJa3gi93k6nMtJfCGBrLZ6r+pTo8v6GUb/55g7
DdXvrqKTfBxqDjU5xMkN2AZt4xBVAQRsia6X43QGowAdgBuvB5O4HZTzhNjuUk7ZmQBjvGcEHVCb
yrgpa+IaPINnoDYWeaMTYeEYoASO2SdXgpeV4bxtQZjUq6i2sO2hQMVPVH7GgqWDbZnbjUjsQ2qy
wsqU1YAllylxYMNvsnTgOZtIFQsjr0+BFg1PGWhSSA8sN+Yo9IjlJqzE+Iknh3PNb4hzGMg7Arsx
JDoydzmkM7KVvi+JvZt25scSY8q5L7GFgWMpkLGkgUBk0TUH4cbMnA7fA277uuYeanJ1GxgL2ma5
0duRJGwJd6plrQYsk1vfROcSEBOQXMNpNyZto/GFV+ZyZ+ZTkQJMImuZRwpE2L2SxU78VmRcPT3d
1LuAziUWH52Xnbf5ru2Q7U1UJkEup+NdYrXJY9X1kZfpYqMFOqYmGzZ2Ska/ud5ydVvk56g3CKPM
pXECIO4clHxMiqAVr6kxf4GVHn6vI4jvVC0wcrqMYnAZieF1GquJtor/NR0a/kqdvevATS+Z3+dn
xjRdrquffBM9NZ1KktV3ihD8qtR6dMZoh0D8gUFTpHo+N1dcaj+WQhUDk6s9FPv+huHXFDaT5Q4M
WJ9dISFKEENxKATlQ+3CDjbbRckp4K1LPWTsOMcYxchkk9nS8hLVHnHa4Sgqy9Mk53ljwr5YTSCN
vNjkdUSavEvrPqNsgtlHCwexdkOuYVY7VxwGTBos5sP17r2Sz0MAo39O/NXvygvUGCVGf9tasH0/
lxf6uLd7FGPJDmUiibhBwVa17VtVUhSMdSbpzJqAwL7wzRm4NG+RKXccNSUytVenKp90B6voEJLo
LmFGZyMWt2z7ie7MvS7H2TMyW2PsW92h2gNbWg79vZVpzVo6LQFwGzxfC5nXHMkW8nvUZuG7hdLd
U631IJI5Xw+MtDlLCBJHqxyz88ioNJIS1p9lkwO1qJHJlxJJfq2IvTQdz/mShHXCwDvpfI81vz7l
IJs9M1iiwJB5VagzUwyijn9IBIOs//xIxe9KKaAPdWlTCsSq8qEiFacRtBB2ys5vyCkdRtwcm46K
hCUJurJEvURLKZXfx/3fsd0Ec1//UqL+TVHMwSNDR1oY9FI+1vIMjAcqkkm3i228Bg0DX/YN+FXU
ePjBEi2uvdCCSdbjbvtLuUr8poxI+g7f0UArApLvQyGJnS26KHG7nVON/UpxqK+ZQCQeo4HREeZc
ll86PfY3vs48zUIxRaXPelBVcjcZo3j786tYKnAfi1qWbgumEWFZAuv38+LuZKeXIfTxnbkcAkvB
wFzA+XYztptamQ8RFve/PPlfa/bY6HBGmrQndEHg/fNHGnmLnZKiFLQhAzkdzeBNFfDfRFo8jU3d
r/pQG9b5QF8UEVC2//MP/s1upk/AF3ChGC6trJ8/PeOhMhpAg73gEIwlFHQ8jLP/d3rMf2wC/eax
UmWWymKA2W/aVNymEhgjGpdZRCbmXqaz1fH4BbEpM4jTz1ObRn/bU7/7YQZmNIf6tqC6/+GHVXkd
EJZk7S6I4ubktxTMo9ZkPnhJcVAMzlPI9YlOhuqZtIJLNqbTrh8Fc6uCahmrFH2f05c/P2tMdR8X
19JHtJTOYqcI/GFxlVpaR65esseS+EtRqunHP4JfBmWuC8aV3v7545Yu44fPU4plbFL1BzBIYv7z
u+2krVlocJqdE9m3tWSGYb5MMy58TAo6UfNK9NZXM42fSz07pLr9XEc4HPpouOlk8r11Boy6Kppv
/vy1lq7sL18LvItiqbO1rY/IFeaAlVMAbw3JBHMK7JTg2ao4ajo958pk/FRXVOeQItkriKRyC4GK
iBbuvBdpxZtg4hGTL8hM0lJK7Pn5RJBh3A6irVdtHH+zmr1q8f/PJiEI3XdAzQ+SGAcBYrnKgi5m
ymoAV4VKjT0jSmxzektL1zGxdAx3eooLKmtjrzGW3FpnokDqI2/WmY3Go6GUtbTtrhdbPOv14c/P
Rv76bJZOsqKAbzFKCC7cz6/MhdzckhiWu8AnXZhUFXh2i8I8HTLqYnbVMvkVCsrYZniS+l6//kxK
q56ZVpAomISNAYmbbo7r5FjqnbZROl2ifomb54SotGHk7A0lCcYIOlRCsfL+7Tz7xW/J+YlXWVrm
wkPV0ez8/BuoZXDO1wSbBKUN9FxHW1NTG1a5Xb91UjGL2MrOzGOr8X8An4M0sK0HqNN/fpS/Ln54
vrCBpaRzr9vmhyeZxbNR9nZQ7Uqkw3LgwUhWQgQi/C8fJH89aWgdCsfF4Yon1v540tAF8Zk5nZQ7
Bpxd4pi4R0zJvK3sNn9P54YKh01VihkTZEVjtwhka75M504MB+wDMEDhRZLCRwP9Jjsj30tIAXm+
yQZIGqUTknfq2zjI6c0bKWU4zSd3+fPT+t1Lo4FHA1TZulK/dI5zMlcp5rDchQ0wTpnCeqtz7KVZ
Q9Q5ZiM+kqH7vuRLU0L5qavC9ylz/nJi/XpA2sgi6CcuAqZf1Qyp7Bq7BFe505loYrgTkikJWKlL
GaQ4TH/7NPlr2GXbhrCxGSOg0PHS/7xQDchvDrN1gM0RUG2TspjWS1tyBqbhuSJQFHAJqGf0PxDL
zeAum4u3YiwSgJ0E96YeXEpHTDepWc37nsR7laCkX5mMBAYK2/Q3sTHc/fk1/XqP8o3V0ihG+r/I
SH7+xrUabYDpbC1bmzB0NGW71hIqEB1q9xWlbH3d6+lfmpa/Cfj5NFaE7hKhKvVxJ6WEDkNRyYKJ
BhQ2oXaaJOKjPIN/HwECLGONILiS0XaHhvLUyTUoVC41Q+rtGEElc3mjnBKCT6No3SZoNlkA4khp
RWyZ0LUpDVLM0CLtZtDJm5yJt641kVyQOEnaz9vWXk4z8B/7dGm/mFCnHhIyKi8rjJDpWra5C5Im
9CLfeE4riSNUo6lXCoSVM02HbWgvwbw/uDu1dChtsrhxoE5y7W0wKkZf0XP7tmTCTD/j40adDoX/
xdDG0SvLZthivsz/N8cGTlwEPAvkDM3Gz++ydOYorBlRtWOIc3gPkYeiAOnLFjAa+FvqmNyBJLno
WbHuQb8wFS86HwAtDp1MN4BHhqONrPkfZ30mB1qjUwRE1GxK2LGt/HxtbUKsZAgL3dpjRrv7NmS2
1V8C+GXR/RwzM1qO6AI1k9QlszF//iF1YNKCre1ml9tcxt045OsMld2+N8P+FNRu5sEYyf6bujNp
jlvJsvRfKes9XmMeFpWLCMQcnCmJehsYJVGOGXDHjF/fHyhlJUmpxM5NWXfay7TUk0TEALhfv/ec
73y2/cgLLey87+yZCwzu7fVN23OI2aNgN4y3+p5gEbsOAGZ3es4UrcI1dG1k9Pv9nE64RcT1x7J2
IFRYcXboDJ6RzGaHHDX62Mny/yACyLDT8UujX+YWsflM5ULjdSf7b93ojtlUPWjII9fP8wdaG4ZG
nw/IySaOYvXg1Ms0wKHJntKUBNWz9PjGpZ1LtO6NkoP9USegodaDs+oJF3Ew4m6nRfMCv/Q7/2Xo
kWv6k92k+a70EdhkHuPGP68cv6ksfJPq2zdIHGRXJlTwlcKlZ1ZXpkNc7SRDiucBQWEvI2EEtus6
4TGcWwIZRDYfRj3TcQxRMUS41lBIHZ7HMLPeIZxSgbVmt77Jl/VNuvd2ios1auvPJRN98lKZRXh6
Me3+/Op/XfdQxVNR8NzrHFPfnpG6VkPUSuNlp/k2TAPmi8tSkU2cip+7UXlUvLPq/VI8e9xT1Kcc
ymwqGd1bXtILRVBsNNGk8KbvaG2jQq9bb5Usk/vnWUzz/PV2DIV61heUHIhGumUM2LfSX1kV+eNK
4hlxELOskGq8t3i83SifX5xDXcvztqiGlt9/8eLcibhDLSuzXRJLenSK10AOK1MAxmUkxbynX/vN
5ZZHHKWSBS+PeO3Xl8MK6DQMIjO4GctdiweNYEVWpIZ7h7PjexWk/7YKBiRis6Kg6ETIZnByfH29
WPVMG8nM3qHfd84gnWzWQuWFo03UHNpgTLcZFUlSCvYMytB9Aq17bxhaeWlXtvdpAL54nfbd3rW6
q8YleFi6oEftoQdQyzMa0l1pTsRElbtgmFy4+iUEJSsNUKvAAU7mttw2CT886RVwYU27QSWfHtKu
NPDWNDLU0JeHQPDrPWcYFMQaqUehLZx0rVtxfxijYUtHUm6UIKypMIV1RMuhMVHJrhp882uObdbO
My0+Q0MlZxi3aRiBt8C5j7NkBgkd5qVPciC5jCFq5i9GTTPVGGR3M1GobYs8SkMv5qRGDCNphFR0
dAQVbXXMIAx+s8I6IlB10IFlAbbRQgLMq+3k2KWqH1BalBldssjaWZ709wGknrNWR4L+7l3d2lci
TswQx2Vz8l1tXoxvxt8d2Z+71sucdx40622hvvBhyDtARMuqpHNef/1lB0KqQMvZ5VFQ+Pvnc4+V
oxopG53JNrUUwGf9qpay3EX1YANogkZl1ssXiDs+9BXsa5Q91PWeggyc5PHX3EytrY/0kKxf0gAc
biDo9KDX4M0wCC9VuWWIYK+XrsTWt2btfqoG+xwsPz6t2qs2Nu9xnNjrYXRRkjidtelUUe7NtPHf
aTi93byQ/fFA8QRTx7DQ6G9udVZOw8EY4W9jNe9UTJgmk9h/b/F8voSHwhCgjgsA580HzCnMoREg
fAQDaU2OO+3XXi3+sXpGDNKCmiKU6r1T0duigIuydkIZocO+LBtvViih+W7qxsrDoAV2gOGXWpOQ
Khm7kb7qW4z0NMtpDhUkKIx5WfNOW+uXlqpnsc+h86OAp59Kx+X1XQUJNAdvUHnbzq015vJpw7dt
zWFK+iSloAMcLWj9HavdPW2HbJfbbv/hz5/7swLuZWH0/BpokZucZRD9LgLxl6s0j43yTAVYJ3Uz
Lewn2UBCsxQHcUxRK9UnwRqCSvM4EoZ4yQdpX5L8FYVla/p3WoY/PO49YNoDgXpdMfsPekN6eikb
qru43hZZrG4HIP0HR3kL6y3GgyBt9+zVgyTEDVXCaiQTZDcE7bXliXoV91r+TvHlmLyHV++RAhZW
EzQjKL4We/Pr9zglrWtLttBtx1N1Hiw1bvVawOHrq/74/CaCLiaTkkCtcxPzGwweo3Uwk2ubG2hH
Zkqw0KIXQYRGJPYBaeWA0FON51pvDuNsfq/RYuy13kVCRpRemAjrJjMB4daKzAoslM0+l5DXbWf2
cex7AOqdZqM5aYqaw5Wb3G1nFD7VMmMvtW1Rm3OoImcl6hhYkZINiSEzTnGQkKs4FreT5mhrNxry
62muP84qhYMTd0dn6Hixtp6vhIz7CzPxcL1VS270nwTchMX8+nHShEdT6dEKxsH8+uOsscsnM+em
rcgUvZNOI1UUDH4ihruigCFrdbaxnVuINIk7RWuTjheRy7W/z3x4SFpC9wo+nLHOAx6zFGPWCSy5
/iin1GO8HMwnfgrcpR4T/ajZ5Z5G0uLxjd1dpvdfZ0igJ055+lontZeBSmNvpSlJTlOmWmtu9bHL
Cf7qR+2+oCGNA1W9V9nYb0s91gzO3DyxFtk3Nu3S159AmrQkj5i5szV6Nm8fifDf5jgwBOOFR+yg
vrnpsFnv2oEEFEuDPDvNMsbK3Pr7yU7qMIWaiZm4wl8oFnlHwmOXzaBhgESk2tYcam5MV2ihQhwX
6op7ZGrx9hLCma473YdwrLrdOMVYl037buitBxvL6moKvLsoTr5x1ulWNfOpEyY/by8QbVyIMvGv
QTCZmzj35QZyCMfxMq7DgizonUtvYGcz8tsuIc7Io7nkGOTWOz2c3907TC5smt6sfb8UhdOYxMwo
uXeIBfqO28C/Xp4V1WHyAl7Qv9PG9X7ZuWy+IguFGp1cuIxvxcxFR69K78gw7ZBThSlz6AeEZfGp
xji21udi3Frk/FzGbhufTF+x4CnKL2PgQx97SQXvkz/BNPET9JnzINyLaHaarYHKZ3SPExkXoZx4
rvsUySt/FjSpO4dawH2pUrYPc+Bppmz/XjXAiMwKMZ8h5/7JqCooThbPQM2h8Jw2urvJhCW2MZL4
D0Ofq1sG/lFomHF/Uydgem0TnUZmg/Cx3BnuosbRBjFXcGAie9Pij9kH2cTKMQfdReGW3lnhroAs
yrLc1Fm2bZaXw8Q0Xwrx/oMzcW81PduMFgMiXTumBxRJtjyFgJ1xgFfk9KlS/xvHH3l1vcE4O44r
bRss7BwCaLSt5IMEeWO4m5heEBUoD8T8TlXwm7uFm4RezKJHX3bJ189Z47p5VghUsb5ClJM6fH6q
dticKvLNPYcH4s9L26/XY6qIIp0Si4O68/aU7mYws7W5crZ5Ad+1r3kakM0FBzRH/j6eCRf+8/WM
XwtLjm2Q5znxIlP3vIVx+HL79ZG3SVMIe4uOydokE8pQw/Ddc1IwiCpnPT6Ngb2wVdxtTfTJHhQg
3yMxEZuq4OGHG8QoYPCi9cjJGU40G5Xe81XruBcRJRjtEntooMCs1G3RsFw75bK5O5Fi50lywheq
R8IriV4unQjFNTeda+SP6BflBsoqyzspo6GgN3mP/bg5zK5/Ac4l2zJl+C6roArnwfmeefmjGfPa
Nb0dt5MfzSf6WuaGqBIaK5W6b2budSI+0h9bK/BPtVa+iB9QlFmbgIjvGwORLxoRnqYgYJeMuQVh
ZOX6aWjtdle5y25KmNda1NQlGaGkeHs7UG/LszqZrB+q6KYv5cz6lvXc5zMoqOco+j2qePaejGW3
yWr5MUkyDQwwe2aueEG158GYI+s5DLSYKcAkx5+/m3O/J1OnbZWncZonuqMLO3OQa3K7Sbtcdt00
NpuDnWQeDwvLRQJI5zC248yHODaHuMWUbkgG+B1h64egFf6+8XhCy5g/osMaDssoALFWIf5G893u
lGjUZWKgIirhIrEv8DYhlKSX4HnJLesxonZTBSFZRgGJGgmfHcT2XT67H9zJ+1qg111nuW0eeDr7
M54aa8MKxl3sTGSCyJySJaGMfn7cA5ePD6UpV9DYBSB/p2vMtwzRA6vl0M7X8Xy3/+9XE9bmOVju
a8XEIlngaa9/+Y/7quCfP2ZP/rcJlcuFXv7gnxcOH9vHfzz/RJIUl19snpmiN92Tmm6fGnBW/8y6
+3d+8z/+Ly2dYBGXnv1/FVDLNX7+3cvH4uk//9euenxt3fz5N35YNz37L5Y2Z2kJBjisgmWJ+4El
9fBnMn7EuELnlVGDxZHoZ/SE4fzlU9AyOeJIihxj0WL8DJ00bDIs8S/CIuBcw8Li/zvWzTfrIYAM
SKScT+CBu9R6z4jzFy0c0xv60smHRc3IxGgcmM1FactoehG2aUU6Hl98Mtc/SvKXIZcOq92LQv3n
9bggHXzsrG/X+1xYTeYSXE7QOKKW2Rbf+xnN4TTQMvrzlUzrzWBluRYTQMqdgOaL98uJs8N6ZVlx
POD2X+ILC8ep11LEcAOxtV1kEcVIN1vpLjfbMlzO/4BWqv66KcfsUAQ2gAPICAhbp6FG+9o1+Ney
QKhPzKpRPSUw4S9dTOHHTjebL9PAkrtuDNjsZBX6QMyKOR/Jq7CqJy3CUMZkgYQh+gT9FumPNE7I
APRrsBKNgK4+R/DGPPupdeNq0/hDil4M8tx39Dfxk3ATRBGlZ4VVlM/XgTRd2m1yEjtJIhlinLa/
SVGZnyQOlX4v7Q6NbBYHvJTOi6JPWLRoj5qxnOkeEhstVsBcPBwqQvN29Qxdgko11eQaLwMt/sZW
YLnokavvRQqpy2vcw7OQzOhxdoCfOJeTe186SVaHpEJHx1lo8wkvT3k9jvl5jM12Q5ZgT2Jk/aAV
SF2Z096kNqabcoGoL5pm5gnxStZKrq1AU+cphsCgd7R2I53ebW4EeRxqLtKIJMMMYWhQ6pBpPCQB
TqpiZPoyyUUP5TEJHHvvsi1JoM6RVcXPzj8DnYwDTaePStrYwkTRTmaHqd1OskepzVLP6h3v6FXY
YQ6h3JTYIbKaOUdEGULzQ3ynIFg056gSMeLTTB5Q2y1uih6nzqqKmae6i7nMdAumXYhHh47ZV4dB
EreAeBQmGsqlL7iIOoiPJ5GuITbOLrVdQtu6ylTI3kiGpBXT7bPju9Yg0IgZ+Teni86LKlNWYAqg
Wu10TIurZGDMtEyOIysb11VhfEvdYmth6SE3ud0tStnnUS2pLA8Ov+gj0s0xhGHhORetOIqagxgx
24jdY3lHBPZOQ85ALMYpjhZWmXaOUYVs6oDhrj/6zK5kJKU4p5aNEBSpdHMlW7zCSB8AgNV4r2gE
WkN+0oPxyaW2xwqn3G1W8OWpxX0QCLrNfTsARVlIkfOiEU0C9A2d7V+aUywurWj8EkfNp1GYMJDM
Ade1RUqkG2n3kSXOHBX19WwRKl5pDUdMtvDnke/oipOIsmrnKvMh0wPeAJYYPeJyi8EscsgfoRm8
yl1AgwuI1a6rHhUnlwauRrZoRSChakDJ8cXexAXWv6gaJub/HJaiggc1Y3R331J+I2r17imwGX7T
a+7JOWTaWn8JUF7+D++bL7fNf+yeqmVfat5uwf8Pbq6W7i8V+H+/td4lVG2vkN8//8qPvdX3SWha
nMO0bFGr8Lz+c2/ld543NrZdcp2Xf//PUCf/L3RINCFJ3jVoSHv/2llN769lt9B9i5ioH/vxP+uK
nzvbj1rnv4lzXo4u/9rqiC4DLK6jJ0NAY+u+7bxpokQWMalDaZp7G+nccVYo/EWVXNiRWR+9cfAw
rs2kuMRNtRlqMX5IFlcyEvRgJWHeAP5sUM6bvf81jRsjpEXr3ZZFNx4qeDIXhTfG72yYSwP2T6/3
TcvD0Sa3TfzJoBGfA3GyQcPVps7GVXLYqFHGmDLQSQPSo92Lr/TnJ/eyJvgxOPvTpd+0n2vXLmpV
WxPSQlA189iml1kmSYWSY7Wh/cQZJMg1pLHEMmSmczX2aFdcGRByCIUQH5BDMM5cAlDWhmJVBdKj
Cx9f0e3vwNLw6bnWeJVbkbiIEHqvE4/8v4zD755Ty23dpxuVJx+yVHcKtlWtVjRW/P4hS7SJk4cc
5HUVF9Uupkt111u6OGcNQt0sJ9MI+VdxLAK9unC6ILlQ5Tx8jvHZhYbG6JwgLHMzQfHiUNtu9PLr
1Mf6IYdgx7iKGBJE06EYDP2DPVTjwevLYZdbuDuiUSSkMHRfUxU0LXNzs3tAeKDv4pID61yVYA0F
QE4VOxXG5/SD40ZX3TTcyLTGfTqEQ6492E0ZnHDyF8cpDT41M0EvmCZOarL1cIpdlBOzuAD0nKxq
QWnhT6liw0t21lDnq973HltArmE/ILNHuXbE4KqtzH66Ij3L2TYya9F7YPLRYqs91v044oyNzDDK
sZlFs7UdFSYmUd3n9niM5ikKgbWTdoXNUhNw4uTRNZb+J/aobZrZJOWIotkmM3zPKvUZrQw1JOJx
ykLiCwnITIF4N0nd0mZ29b8HocQGNjdsKMdoJ/QfCTtwYB15alCndycyKQDj+WZPpOd4PzLKukE+
1IYj+cGr2sVjYw/1Xo+1e6Mch01CYjU+Nr4TkqHjq6DjaNRbGIyD2N44WWpQk7nRwS9dfdcmcXTA
WOqvfZM4WQnXDVSgi7a/A3XYQwq410ZSgDOx0ZaxGKiIAzWWFeZxksMD5m4eHYsDaq0hNPSZuxPJ
OJ0GEeskTbfJToc3Z3vlfZu1a4WEcSeZ5kLKu0f7EDak96zQpdehM9jAZjNA/lY7rGkYeOuSYd46
RwJk5F0dkmiy6nqCgBy+TRqX0c51iE3GromIC5ixU+ehlcPl1SLNX0d5ivVKgj7z4EDIfLjlyKyf
IDTxqA3jQPrG0K2quvVOEyl0d6ll0PT0CNUd7LuscoCkEmS5LiZiQrIuvWTeaUJX8cywrboW4BRq
yEkzd/iZdo6JydZ2xW1nsqk6RXAi4/ggC/828btkJafxvh2Tk1PjaGnjy14aUGAd4pO8fjMSPJDL
Kw+q3doDxxrHtf/BlFkCoxP4qN49ZgknXlco2KKgoYryvtHUxsSbK+Piq26Um3bGepZ71HzSRK9D
fPdlAJNyh0t5laTyJhmCI6ErV6MnjmlUmvTbAHWuomnytiJy0YcSrNx8MdAS87mX+h3G7S22aPMW
wL/YRpR4PNv9+LU3Kaf1UrnQ6EcreIyJM1r4agkjhcbhq8I7sh46io5I1vmWEHNSLWMgkSMJUlgA
k/JgwtBa1V0jQoUE/8aPQEzlfYabRpfdPschdrRYF1GT6B+KhFQVVj9CYfWhu1cAPejS29rKEpq+
GxAT7PPcA4s5lJ4O3nnUDyB81a2k7rkeOqveJxURe9HAqCNPK/J6Zgtpao55zJXRVQ0/X5nkEzpu
dj+VaXvMopb9IbM/dtMcb1TtwVibBAHaZsnww6zVpSn9bq37URy2NqAyU+EISjMQZwGO4IPwxhzT
l9J3mkiSjUfON4td4zwUpQZWdma9S+01Q6d0X4K1Q4aF7lAN3oztqfpOitKeeKN25wCiWGt9lu2R
x3y2NGVv7CS68RKo+EYcaduxGQeIB3GP5zY1DgQMlpfE7Nz+eR97fbZ93vA5mZucH5gkU0S8ETob
mo2hJmuMPU2zGxIH3T3yTyy4sXP684XejBV/vdKb0iJrxzLWmefve9E5ezsKnoyZehX8RLUmI+KL
a5aci9DQrcj5g/jnkev755dgmb9WC3CeqHEwtjJze5sYDYBwSMtmJp+3LzwserapMRYi5oMJkBdq
NNRCDrnZXTvX7T4rNXkZLSsJLiH9hI9CngImGBheqwc3SdVNNnAQYpTIKi+Msrx0vDmCsq0nIWwP
sU9Qzu/NcWwwOE8sgqV+VFL396B+vpecAldaS0BVoYobXoe2EW1Oy+a/ys7f1Ci/+25fvt03ferU
znOzyvDKc26Kbhs1WnAvfAKdfW3+t1rUP75cxtUMoPgfG/U1n/yLloyBIqJos9HYJ533vfUAvE6O
/TezhzJUTv3w5/e1RN+8rfoIHP3X1d4IjMhyKPqxSs098oTruXOsT1YRE9w1iG9GwvFcull7zew0
PvqtOe8BMlihiRJn5buivYACv0/5JsOGxxD9+rhNmw6CVcTiJsauCJOEr5DYRtyEIAdDc6rKaz3F
L1sjP17no8FPq1IO5xxBx6UokUt5YlOn/Pl9vp7nPX+oVPzGktXq+7zd5XZ+8aGia3R1jX1k70pH
wB5guFiAJKV0c7XrBBglqfIyz975Kn/3oL667JuammwXFjewJnvNdng0lPPNgwMWDgqkYgJZ5lhO
OBm1hlzrpcrxBiwpf37jv30JLErLBMJfDB9L2f/inec6feq6SIy9leSM8dkSE6e5gBYcrSNwNxgY
3CvaaNSb8DJZ9eX2zy/gdYfxxyf/8vpvnhwEOw2YZKL+2rz722qSkWZNZB0LSXoZ+Qrv6HhejwN/
XI05EsoljIFL/+/1u42HBBc1c4y9YxEzROYijbomajd/fk+/WQ34PP91lTfvqQGFx3SzsvdFOxpw
n0m8aUp70xZu/c7X97srLW9FXzqmDlO21+/HqAkGRfar7+doGFaDb3zKmVaxz7zzjn57m7y80Jt1
gPNH10a5stlNau8pGdqrFGHNLuj8aMWIxLrLBMY/gpMoj+VSKJt1W78zzDV+PTLbmCRMHlEdSB9n
99fvNorHgaiNyNp3Xlrv50H197VpG4ckGa19bY0fqhpBrOjFooKkVUU3V649meuED2uPmpdkm7rS
WDGpLspTJopPsNvzayMxP6bKrd45MFu/3mzITqCk4LhYXrHz5jbQDCgHxax4aaI7EXCJ5SLWEcTP
Oagcbb4YA5fA+U7fd02MI2ZI6hWHUEZOI51TxynzTV+wnKq+PFCmRhvSv8ICBQ1uUIOO1Ci/1/Ug
DrosKOEs+2R4vSTlweN4NvnuutaSdlPPFbVVvXT28iczwUU6DRKjkItasWmaHyXO/9iA5//bRpWN
6vfFGvHLDOhDS2DKf1yrx29PTfxyGkTE2vI3f/armN0sDzPwRUYfOAK5Y37Ogug9MQVnRmSblm/6
iz31Z8fK0v+iU7XMaCzgfCjM+Us/Z0Gm9RfqFI59i9TCQL5v/juzoNd7JIoXzpIGCnrMvzDpjOeS
78VO0QLCcAFf9Ls6bYO7oVPTFYEEnG4tpJlftGDOToMeyPq9TfKHyeBf/Z/lyovGBqwifCjTpYZ+
/dx3DcfY0SF0y7W7aJsoy6kfsRJMhC33BvEiXW0AGkjU0D3kdVrPG0LW6gxmRW4ROZUNuovqvjZM
UrSs/HMkowTWMQd7dK2TgD2oCKDUmxp4R1ZETbcfTKNUgL0MGsXG0GJlqwEtf7EGubLaSZU7Bkfe
Z0hg4+NUmcHHQicce6ObfX8zNZPH2IO18JTEeQZruga/RswuLZrS9hIISU4f+kVxsgmK3uHoYTIE
Onkuv6RSg2Zk9eFMAF/YRNVXZCDGueFMdBN0mfcpQCkGc0dLz0ipjXId0/Os1ppwow8alud0w6Cl
Okz+kpgVTU9ehVdbL0CS9al5aE2SWYYhvvbjzkMcRSJZ6ZHpqhklA3EiYoZ6VLxb8673NdbPwLyd
EOSunTQv1zlBDDTtLfuqrIkWHSt7TdUvaE4xkhkUpGvsuDlWdb1cuTVKDaicjzhJITAE9kl3mhBu
JKI04NMQP1BHA6uR5I6tSIzaAexp1lA2c/5QNazNqBmuBtXJs97Rz5kZuayivOm29AmIblN2B90C
y30niD9ph8TbQG2xoJREyK3IRjyYekNoYWI5B1v33BVBqkgqVNcdI71Z2lexiRkFC3/nlOYevFa3
jWguHSHHuOBD8wioNLYldhcNRIZdiVVjiPxQlpr9rTZ6se9sXQvRqmqXM7FCB6OSye005w30FJt4
d9FAG1r5oGDaFTpOC4Wfj3E+xDZgc4bx3eWYadnN4wQ/qEJvSg7POoln77Ng+HHhTYnxpezN4lvr
MeRY+xTT0EDiobtF237WR62C76T05DI1A/KqJnkSuq0dC6uuj/FcVJ8KGs581qliLKnPbTxvlEOu
BnjumMm/rleuC53Dra4Rn8It0iMHVDXxvmVoFqZzaTcZebRU3vk5x2W3G406L3aZFvt3haMpZOX0
yELploQEOZrR4sLw0IToyiL/rZFTfwNPetragqDboxD1TFK7Lr3P0L1AuECKmS+lZ9E9kJ4W3U6D
rx+WEOJy7UpRnGceKOgFQ4QQlNCLvR3k9n1FInzEicJPJj7MjvA+i/wZWN1unV8RU99/RJ/txCvc
j8Nd5o6mBZLEVsPGdwYhj9PQGk+VrOWOiGXjI0M12e3awrA5Gw5RsLUtcwKj1EiMDKt5crRb322H
rRvI+ZQ1ZEQAAjHJpy1xp+Tg+dP4vjOThQUktRN4dGNb8x9rTTS3d9vNDkx9a6Jbmc/aVWRP31yR
fWmK+Gz06a7WNaQ+k0nvntC8fY/U4sq1U6Ky7e6ctBn6v8nNzkG7TMWMJTFQxwpVzFq7T2t5Wbpz
cy1T/VucGe5KVYpIo5YDsJ569UXpednWRJu+9YiT24rCS65pb7S7UWv8UzdjsUWPWH2ZXTLspkJz
L/UpJUmqmKLhHDUZ0VwFp3CmiWayRG8wgk1Tn2bZXE4kF6jJMb4QnZwcsUDmJ9RMdMCKEUJiY7RW
aIB8dJ9kNRl5svIICAJMqBU8l9pDWwgkGw2mfc7QHzKIn9um7LubAMMjwVUJZoCW8+Vx7uan2pKs
H01l24jN6ygMzMkDzoQbwc5muKtLOPpQiORQkShwDRYjkmvH6qw156jo1stRvCxR1mpJWsvaQyZk
/7XViu6yGbom26CvQ8eAfPPKh666RlNJgFVqjR53VqRoFPTiC5Q8cp1Kh5xOn/oLL5e+zhOg7ulo
mh/8vIppPeoag+aBnzByA4shA++OwXkQ0b7LzYIZrHNs89i7qE03PqI1+M7ulFziMKx3ucKnsUJ8
g7Q8XQa2lGd0g9U86xPHERocoTZJ9Y35QlphdqK/5rllE61MtBfNJlZaCgbJ6cXFGPe3ySSyT22C
jyf3LP9JJ0VwRwTzKNecUZKdI0kM29e1m9qbvu/9S9lmxUeP72kNSIC5CMbxb/gS7OtmlNGXKc8N
+66RBctsO5dxC+LQ0olPV2DV6BTplMmaIdQmq9V8IZKZELRO/1Izadg6RTOjljD6k5eQxqzKB23s
6mKNwdqk/UtMhxcOpHsa5LsvrSB65D5x3DJp74fMtEnhNFKbSAxvGDeIKvG098xWACAw1p5BaHWJ
CjmratfA7qPLURskPxTNmm9voWomaLhsTMFSTBshDoXhpZvBtxVZEOxMDogK5sdEuHvxRdDr36Q3
Mm4x7cPQ0JakfJ8OyRxgkhmludc0tBGJiLTQNPNz7efjZu6Us/N7Ua4jYUbhHAu+5Hi0T6kjPgor
EBvZDtwAaLLDQVjtCtVaw2RZm+PbApbAhjbGVhuiDY0/Y9tOnXmOx6QMczAwK/Kikm9MuuE4Y0y/
INGdcbhmLPmzY7aeGokHvonUrvamOuQbGjbUggRNLz7Bfpw/RHnPB0m+9oYJu1zlsowIfOoxwzb1
h8FhjBFUpdq3mESWUoPxENhNJHW+QVhe4NNer8XGz5S70YEqhE5pu3uX4f4Kst51o008voVpX418
7/qQN4Ssqn60dxqJipuMNvhO+dnEGURZPPCJ7ZwoF5rPCZk/xDIFjrPtmqS5BvAeQDpsG5h2ZTR8
xsmb33rtTMcvyLPvzei4B40t54Dbb/iU1rkbMgCo+u3g6BXa+bFDh+Pp0Xc9nnFNoWgjIyE3EVNj
l9jhdnQSMn6N+FpoATtnJnr96NJV3I04bR4DQ8lzr5vjVRG0nPu1usQsCQfcPZJzgVu4x4pxFLh2
70RgOCfd7437SabRU94AKwBP5xc7X4kkY2EyokPa6s4RNF6JDmEk909gED7yqDChhPTYi12l+9mu
gLv/0bJ9HNcOoVmwXuE9xWYuviHCQQPDcd2r+BLK4jrzfe2eFna6T+JmOqVjOu9KfeofiEkuTp2c
Sg2hhAuOiSHN1my6gChPXSeEwgEndZ+l0/TUofvgMfWz7Ba7RX8bxOSGkavqxiGlbbceKO23RAQ1
H/2p0i+juCyPcWTo4FIRB7L5eYNg9OmKh8Qmxqko9PzkjNp43w+Fve/LpL9B3NxSTbrRtdVUaEEx
c57AU3jEgzHClgLqILIMhBQG46dWXCqyw86mjwZoA3y7d7nP4PaRGwUQjxWP+EBzTs7IuGcCf5Xa
VZpJwQNhdeTozsli1TUjhoYcJjqx8k5UXEYgDndBXpKHzEh0bRZTe+u22nzwal5B6ZfGB8vtQe1V
qrXuo2hwybTTzNS4Zotgf+uERzZqhvM6LAi3XSPtaMJghr3iWgBcyUuQl11mg97Ig8c0qSF8mQYQ
Ux+1ECFqC6K3jr9RtOQbza3bZC3mnIigbpzKXeHgcAZE2HzmoZ1vtQDE7kwA1w6nBJZyDQJ06pF9
4BTAXZG0CtLElHk5EG48PlaWOcobJPIyv9PI6/M4uc9pxEmEA946MkQ6INgnrhQ1eE94n4flFN6r
3zO6rav0trAHcT/W5NnMGO53DK1EtYFbL3ad0pubejKNz10V2PfYn+loTsoMHrpZBPMmTZLyThRa
/G0c3BTngW09ShuO1cqTScLXUbvjrU6B+qSsaj6KobL8VZGM8nZSBmvFLE0WaApvVjWnBSspRxhX
K9VY3Sem9/pjFnk2Y2jdVfc+Hon2ktBP29rMILTh9TY+z0+RKoaqU4rzyhFTFwaF8FCCdcaUHGoi
sGFiEhGN+8FpFL20yTVWecbTa0+pb4QV++GpMtIAO50l60uhvDgOB2hzF4zsPYPn3TMnNLy1QDzV
WZ/zeYh3pRHUH8ENd48mR6K1tGt5+0xQwtsoxrwJ68b3Ty3ZLKHgPoRZ7eqPqRcPf4uS1BU3cZKP
KU7IB6OuHH/jBpNNpBtML7RN07YP/OrKnC33RqA4FytDjBGBcvlGTnV2oKKOz6NpD3vZdPO+4yN8
hAXSn+kKu9d2XKttgQDPaCvvKvHSJZzaNMIOSd9taWv2RdBaHcRRMnVJysAcvRp9iQzDy6foVKlZ
seJ4hMTH/t9QZb5p9JJuuloHizFKVbBamw3GOrcPvnd+7a3jrki2Nno0Rvpm/FGBo/s0pDw5uVa2
n9JcCLzkrnVREk90THK7uMkq+7uwmUrT6gtuJeXsdV7QgRqTpH7CNYTNUwzmnoHy/2HvPHrkRrZt
/V/enA36IAdvwvSuvJ8QZSQGvQn6X3+/VPc9T1XdT8IB7uQCZ9KAWlXKTCYZsWPvtb7l3s09wRVz
pOsrY26HB0CuoCy1VF6o8MzKokmGn6VWxSo3qvY4hvawbLSo2rlRLq97GgBLq4pLSOHJUF11nEnf
6sm00WeBN52wPATKK5vLnizJXSnqx04fY8bonon7KM6tbjWWvrdoBiIWUUPOr9LNJhLfOx2ttEUN
1CbmE6mx5qnv6WJkbuo/xaIOSd9hzXci6jS21f5misrpJaYWuyjaaF7NdI5PkG+ZYlHlpYTtkZo+
a5W2t5j/n5CH2fe9Yr0XKPdf4rgpVuHcxq8TyngH5AxHaoOwppMH5qehZ8fTFbOrYKiLQUL47Cne
4PSLZOKMZYXpeq5kcioQWjxknqP2ThUmD1rJfaVg1XAS7IulV50VEdIyrgCKmESa9cNS67vsbpwq
8ySJWfpuD6OkTagX5p1HPXmh5+x5BFiH1ocXpZywMJE2Bz1SPgLcMIm2GjeaQeZsrxkkjKfdY4e4
gwR2za4e27Gqfc5do3GbOlN1JxqT1GZN0lsRJM8XJFjXxZNSWfg6tPq58xqxvhxU2bhE9loR1jUG
ksekyGaEm25uN6g9vPA1agfOV8hNrLfeLdxzUtZMhrIoX8eBAYkZ6uKxdGnSOHlbHiMqNWK6WDt4
Q0mOFtbL1nEv7BtfY/U23MbZciXVZWOcXTNp375iHegPRl+fdZ9euCJBK9vSxiaBCcHVURGME5Rn
fWojGH1Eaa7dwJ51FgnypsBAOcgSzyy1xFtHtJ87XvhM2h2CG0mldwp/gjAxRMZDwWlDMsuCxttj
OsE8o0+rKZlGNwhnFB1Qo6fpMeUMuYzC2MEbEGtMONsBiEBvhxyoTUl4/JoqABGs3stn04+NO5Hg
wMZrMPMeNFXeTKWnSBWNouLBzuvvKo1rb1WLqXgFrDt9L6lBd9LRWIZCTFAyr0tIg5qGETF+SyMa
W0aZIgWeXrPRmZYIWEh5b1tyeGWin4uxBxaZcj816lYPB3MTdbF2IHQe1UlUIrvCgYAYtzymHTnH
svNu2ljZl6EF7kCPGLgGlo3YmWi6dOe0RXEYwMLuSC/hdtBo+u3nvOlK5C/WeZsiE7Jsa4RbTNxA
z/OkIR4eu8k7QRSV2Kz9ZmP4of4muX3eKkPHc5SSc8/vZ/XBlSTJ9Zyg1hAx25tkEhgkpbFhbx5u
0lAriqA18L90moOWSgM5i+uquXRM/fLcE3rW3dAGwFUNDB5TrUguqexy4ghZr07QF126XcpBvI3u
B05nwsEzEONs03+b26U1ygyIhiD7zB8a95rSICMlTqbhpZnEwFEHobatLd1FQmbI0lK6Tv7uxHOZ
hT4wdiMn+hvqHKpmlMIHu6GXuLA7M3yso95cEzmhnpPJ0k8J2YdolCWiE2X3zrUVd/Wp5tUWZV2H
VxLS3EmvIF8GoV+KA8F6YmuVabI340kdqlavQE7H3g1GH6JaGH1GS7PgOZ1U317SXAOuzXyMksYT
ebqqe20a0OJXySqyp3d/rudli7pgMUem/qGRZbnrwzm8dVmZkFyT5sl2hGnbnb10HSVdtG4cfb48
Kzo2EqFuHRhJ7p3GtK2uybbQufVqxiJSQ9PiEs/+OiKi3ldOldy7ZK35LN6qpt/oorujeYVoAc7G
JWcC88GVEz4wXe+puYS9tRSbWQvHORIT+uPU8JCaaPdei2s2mYYz8iqP+DbRfK2SMRuvRWhmC1iG
2q7N3GqvlTp4Mq2oX3RmWkuyLeOlyhk/z77aclzfpEZeX/YEMK6bFAelMY9spPzR2bW2lx8R9A9r
BHqVWBYgbCZQZ8wWbUvyjCP1kgvXm8JNl9bN2aRj9hdEg6gH152NB8b30TLrCAUO6FzN0aJ3ExQv
WZFyTmYydJeSNaGvmc2O03IWfVKsNbhv5aGX0qQlW5Um9y3Nj45ghkh7RBij9p4ucd72FNEpyvek
v5kn2cSHUrjxLfx7faCe0Wj2ziARB+ivcfc9Efm8mbvBfUlNssMxGJbGWhSZhhsswY23dqySdSup
JSmYWeaeQz4ZgN0o5LTpYvBj80zR9qvHjsCRt17TpxmwzqDbu1E1ZEhDebbvcFMXT7UVDhsNBvnl
iAYcz4FTq+t+imbabYQ3XFWwj2+s3iaHPW2fHQP3VuipNDBgx7xoIJUIyUTkGlvC2ivPzB8A+7ZV
UHhjjZ1eIqwsjIxGSrvjKswrhVD+wo3PykwHAc5t2/bjUg+n+Y72pbP3alNcWZNLiyEZvOoYdTNQ
lLa2vA+6Bqj3osL000BvGB0AXNLspSaGZksPmaQ+dIzjE4YPNghaqNMJ7p1YdfI6rkQHbgYD4V0K
9+oYNSEBKm6D7j8T4yk02Qm2im0mD+JZtm+eTJCpSBwQKhjLvCcoGRbitVdZMDiqYcp8MM4TRozW
olML1cWDkGFZZbJmGzGvMttvry2AvI80zodrze0gHflGtokLW21aGGn3VpqOlxb0jFVM8p++LmNz
WqrMSS6xUcH0LAfPfWmrVD7Ho5sdWmaYVw0h1DUtSFDuh9obmboYZOPqREAaDmhgqiyE9Fr/NM0t
/CmX4notnTHZ6DImS9dv7CYQIMeKRcqFuC5Jctbw8JnRR2hI0UE3MozbKKTRy+xSz2+TmFBGcg44
QPswiNhOlbNwfclBaswt56KBwnxTR6V+YxKhe4kTvsAgFMb18zx6MdkwCVr+nmzXkw41lzYOWVTF
Nm5r455QDPNA5I4bLfI6Jl9ddfQ/Ay/JxT6ZtPCdsMX5tfJ5eFaDpGALer0eQMnPsoCzRGDrZm76
7JG7DeFmARCXmr5Q46XSrfB90BBnSpOHyDH4IQF8YmcZgK11sxB7KUN9E9W5OrC2swEpX/9QdtfI
pV+y86H21O5dLa6uR7cRewyG9dEe2h5pqOy+q84G68xtWzPjP8uX63bEWJGEJGBm3ZIzBD7G1kUE
Vdiz2CN/yJe9KLNbe+ydvWbirpjTqfsoktqCFQcyalNlerFNbDFSo0V5/WpUupKriHjKG45IdL/P
ectpb3nXQPCz9xmX5O1sNvynYR1SUV8/RS1j6AYCEeOOWCht36Y4tzqu4W0xqPadHSgnNFYM/p02
G1iiMdea8Qr79VWXC3VTophiesDaUgR2Z9sHX2/bK9zn2aEy+CUjJNc0Agd/5YKIIPh2yrsXBIvq
vCH35snrSAcIBacS4pyG7CaVNfZQ6SdmdRuG5Xw9pozYJMXNUddj95rhVgFB1JA3ysTrZaYj+d19
zVHDLptV0xgymOUQXub95O75teiSp1t7Gw2EMfzxSYY9XqO4HF85MnsXHVGsV9OYf9SGs8xTwN21
LMmkT/zp5LZTfhsP1rBpSlEuEunfTjGZHpjbgOC4tC53rSKsFJMMKvHE1N07a+BzEWDGwzNBzLMz
nuug0eC69RxfmdB0dDi0OA93LWX7i5ClexXqOjJ82xqbG5uCnpNA5mh94HXsckiuq33cO1YOFCBS
zxEWHHjT3nuJ7jUNqlY5lzIyxWlwS/t6pJ3xUgh8CkFqhFHLcZfxjey4mwY92rKqhldlXHiLCMTS
Km06kBdF2GsEEtQdMspSgcej7d4YZznXhKGcEuHQ4QZ7tCK2LJn7lCxYv4ggOkPobaYtyJuN6oF5
arvDylyuZN2W21HC60b6hm910j1waRYmrEJGI0Orts1fXCtUJ2aHHcyMyfveq0IdBi3N6AUb3rMu
pN4EU5d52gJWhH+WmlHIioS5lTV3nGBMQw4HZSpaOXmNrJ1pDu3eynmtHLuwFzJrtR2KK+5IeiRg
0OhjnNrRYZHzRV2NQavkrVMw8wFXPNzF5A194A8a32LK1jvImZjXiJ86r/9h0R1dP/HIfLbG8aVO
mV8GrArRAy1SSpMZrz4rVcJi3HeeYA6TthYbTdrK06Dp+lsGfCLH/IG4keELG9dU+O6OkFf9wIdC
WMgePC4kvrTd5LQROxfwsR3mpcpGLm8WVZCE2fRYe6nJ3AY8vWlW7PlFLdtV6OpluCjDs9+7FeBz
uxjlMiUqojdcpWpPlPA5dynFVEz4NxGwrs7EL0jHkt3KBOCkBYY/ORdox2QT0GhDjZ5IdrEgL9yE
2G23s+qjT552uCCAMdqSUlwSoQba+z7rG+YoZpEeMOeNENhDTdvRZM/F0mnU+X8MPHRB2MXmPTNb
KwsGBqJikReO81H3cXFRMUFFQ4saec7YLoPQYWvftXp+Tnwx5/GJfrO5atJEu8NXoKPDbOc18Pux
XdjMB1c/MllGAtlQuvXmR0r+BpvYOagtTBu5sIn7CNcOKoIFTrX8MIP536N+Hy+mM18OHg9N8jNe
kzENkW4oYXmySD7TkuHa1uiMSjVwulZPRLQ1+ykssp2nFfD6U0MtB1yG3wyAMaeOcuLCPK/OhKxD
lCG06KgRAb4Iycg5zomD1sfolP6ka3V8oYgtPKXNQGRxq5OJDYdcET0HYk6SYnLdkFNzLLHFMEZH
/2WbIbhkclnfs6oXq6jymmPeoc4i4zkBcxQP8bLLhvldRdApI8MXu2Yuhy31Om1iYgicP4V+/9EG
3U0VLu/Xj5xpTUx2WPze/qzwwX3mo+v8l5r4b9qgy49YSfTGf/rNdx//9//89St/iYLEHzZ4Jhup
L9YzJJrIzP4UBXnGH6C4dKxjOrpN3T67pf/bxmb+gaUZtPCf2l30Qf8SBRkC77hpkL/oo6uBOuX/
W6KgH7Dnn8U56HGQjuJlszw4oe5ZmfSzgDSGE+PZJY9XlZUoGRh8IvtoRk3nwNyg+hcKaHZlhEAe
HDLgyRvBweoW2ToEJn5IE8wz4ajnVFlW7FcBWoyOqLVWdJyNB9FszMJpTqMRS9J6SvLGo7b1jEUR
D82eRkv9NJMKxJyozHYsFHILIYKyPCcipCfpcItLtbiM4fi1QR21vb/Ecd81izwlzC1gSN3RYrGb
ptiRwG4fiE3iJN5VtlrhydZOA4DqOtCBFeHXZvT8DXUQHjNvMPy32G+8ha4P3gncf7wvO5+CMk/J
5gIc6z4qHR3OytAlW0nK3JT5edxAlTWtjhZrUiQPzK6eh1mPT3ET34VMfxEQ5P3OYTb3yplQHmyz
ljdETbm3xKdlJz1OzA1WJbWCk83BZyrkrgeKRvKPvmu1JltHZTGvfC7dilEBo8ya84ZeyOGmKc4b
r++dvHLMDmZ0nlmo9MOMEGp3bhnfhFCHdgVKj5XDbORlnEuXRj78q2DWtSIDH5L2WDEQ2uypqRLE
JMxr6J11HKWDEgLFAV45+kUuGkxmJpRGHVTjgFIjp21yb0SzfuVOarwBOpT5GKVi8I86JrXL1CIu
M/By+oYlffV6N4B9OrhRZDacrKnGSi9HP0u+EsehvEHncBjOwciLFJbkOUXR7phbVRFzyj5iJuq2
gkZbMdnFXo0qWYSoV84iF6+OqWmwwKxdW6EqH9LkImI6c4G6O3mhR2quER5hQU+08vyR+oxDhu/d
n+ukldN6I66+vL9sDZHxVfq9mqgQPKclqKfpbz2jlDQwY8t8JJWOfmVlNMCAhsa4RiDqXrqm3eds
bmHJkVFkABnxly1QT02PLU6NN2ItkmsVS2tlaTLirB1PU3Qc+Ej9usuojZyJaGH0E258w6HJ28I4
1LduGo3r3MnzDJUbUcp1JcpTZmbtOupvzSbuFs7Qr4UmH8qhxheeTv1F13KNDSWS51HU3ZVTNrBl
bTrCXlNcIle+sKaJGq4bZ+DFmQU+VeOSaU25aGh+nOj1WfkmcxwITh3n783QNPFAZXIGbFYAuOZV
53PEW2jV6CxtTR++iSR8bq2sOXL4KE5D7Y+7qBoSjD6zIJFG5faxnMZyX8wK2jGA7/AyUXiyggJ/
/oFeYxOuzcGIxQLVkyBnNFMPBrt0u6DfJk7KN5onxihFvjSaqk0D4ZUuAo0QL+zgMSbdEXPGnFrn
LDO92Dpf0q3yqPoV6JuPzB9KjoNG7brV0ePep61h1F1sPNLQHcedTISDQCTqaffAlE71d8sNQ/9I
ZzdNls5kxXwV4CuDoRNevo81/vkFp5PpXiL1XDpdmz8a5mijLyvjekMUHEeUuYUcsGayhfaEJVpP
V8LpskdkzMOG5F3NwS/jPnS1PxwNq1UXnNSL+6whR2ERma5AI5SN+ocQidgge8tO8BjSNS7icN23
CcqFYpqty9IYoeGo0HjOmjFbiKZ1tiNPEStsFa09eiV3Q2ziksv02ZkwW9h1+RH1bXk9wzD7lmhq
2qaimz+aYexXhanzDxthbDARsubzUD0CjXiHSsH2FrZQZP+0HH/GG9QK2PCEUqO7FjU/uovwAi6Z
W4YYKTlLutvQHNNwmXdDnp0K7EHmDmN9l68ck9jcgBj2+S7pbBOZl7RxkCEOteWSDhNcAigS0Zl9
4aen0SkJbxSRta4M2RfB3AGcM6uw3Ex+OS90sEMYHaNLVGzZsWFyT1jyOBLubkczzUFuwHxQFdqc
ZAbN4LvDZhrH/ITeZrh3QKkyh/NdjoS2SbYLZam7aHAdZ4SvjqCrRVefVWaad2bo5xaVbVaJZJty
EkWTFefTu27XUIL6dPLfZK2d7dJJPOBsERId04SEEemjmAmMgkQ8TQs7duwJLEeZ3SghqF5hbgh5
CF1Lxku3o3hlByuL+FKUenMYcjmUu2SuELCggR/gu1O8kXXAU6C0/FBOWbxF3IbwALXQCDCUZVIf
ZHtDZmC7Vpj2Xut2vrF7rGpBmIbdLTGINoJNMkZ1YCONQLzCdAoy8Jy6r0006RkwztF9bDqH2F/b
rZgNpe3cy1VXk8jLFOrci9fLpF3ARJm+UVPq99hvh9vWjzCulP3U0iSGyVDzDEP2M+0bQ9X2I9Tq
/MCCbe+Vg+fVSRryBobphKnbHhf08gbUTukRMCDJSjywCDKz+QN4HqKNzrIZtpizgrYSy1zhMOWr
jIK6zhtMl82gFRtUmdZ3CieggJXm5dO1FenyHtFEf/7Xde9AW9eNNrFVWveoLljvkDm11R66VUtf
IK/bS010WXiWkvqPFcGBW4MWER5xW6+tLSLIHrOMFobj0pXUa0GeN6kDa0rxRcd2kuSXauw5dHm9
yp7rMNUvmwSNZMBkkolC008FNQRJWJx7s+65zov8sjNnbVmSkoFRivnjrZpt7dXzLIfkUPIH4hVH
fBYaPZfnM6tZ0yBnJnvJp673oSQ2Zety1huZPnTqm8qkbi3zaIjwjhPCIrblhGQjaDoiyBYehwu1
kDoE1iWtaE2hqsmHE/bPal6UResC3HaM6sNgapkuRNGXeyXPfSR7qN/Jasi2xIuK987uiQSjT8DR
uzXxwS3YmWYMF3VC5ZDo0bMTRs0R/Ej/CAISdYA+qeQEWe7eG2q6IhkwY2MFI8055I1KVglBasRr
5cUHfi04jwPwkpmR266pU77zvnO7C5wSfozwIG+DsCTWMu8SuiYZMJ1pXTCAvCIveuaRD+lkYq5I
OKomdd09xx0tjCDSCZkCjWUOT5MkXzdIoftiyyZG4aDZXnTfja78Bl/K4pHuh6xclV05A1ObC269
c9tsObcNAhsmqAzTa2W7C0G0DswWM8kBbnfhQ19Dn6zJOts0bmsGVQ3QXcsnpseT3FCQblM9PVNR
Ejr69oSaHhiP23LOZuKGqa8MhhzrkM4sWS7jPFWPQ0yUnh2144J9n/Uk5a7cR4RXb9soq45lHw13
dQiKMGtpDxIOOj77tZtliN/1+i1qchQvs5TW+5iXyNX6FbSU+VmG7rc+Dok9ZBpEcJyJoAwl6jnD
dPIccjJLFzVZiNke9JqcNyDjzImQmkZ/Mmx2o0ciVcmemUfLubJ619vNMdGuK6vJsnobteQHBoPf
mTULbUFYYeSgT5xZIJaDfW6LuJ7USD5DHQkUILEWLXvAjvN5dVP68fAQtmMdOENmDhuVUGUyYD70
ppAajVD4O1tUYx6BO0VBs4s+PWfvNGP6RXR3CTw6zd+geDdPZpzadOr6VPvW2Bqxh+Dc+beJhbxm
BdJNuJoWVIE0LdWVXg0+oiQDhByMEP8qTYrmVsdASPyZm2ZVMEyMiVz482mg8AsbSwq06dkjNugd
fRFPB8EqNfgZ3aIwjAtZvoJbU3e0hq0jsxHzKh8Nde9Z6LtXFvnSbHaRO7HPRhNdyVgjl9Isxy13
zyDXhHV0H3ZLtOq2nGP/ALzmPJUkKJW4+IaWMCuuVfTLRLU4r3SThNkst6NAUyJ6wszhLiZuFYSB
NPmZQxKmRURPoRmvPlmUewOp0WlAPogkyDuXYH0bUQ/ktHspDqzQQs48KYZgkzpOoQsks+4nxOUz
Y3gfD7adw6UaktdkGMQp8/TEWk5jTYxsUjBP6z2UXH1rSKJb4wJyMG3dB0WL6MDDai/ieNAALRK1
YVi43z0rRXXodMOKVbVYSoH0iqGHH9qBgSJRorWaovuErOmPyCf5OGikm76NSEKOgCHJDRdEH5OB
pBrjzeqYGY26jMhkSk3GRZwbmT1Xq9IcDwzGUyJq02TlWxIVeTIXVwzGEnI8cVQsfJWxsCCq2g2N
QmbAIvnqkz4VlF7nvMSEFL2NGfjmoPKm6DQxMnirzLJYzkTR3na0oZ7ov+i0gCPOf4I95KKvKgZe
OEuQT7rCbNF1eo5urpERFgv0u+SF81isRiI2ABYR9ulRFBTF7WShLgskn/vah2WzKG0afssO1Olh
ioosB+nfZg9K0sUZ6dLLJQGws1w0hZIfrlVRLBL/vqodkW+KxpojZLqFPESt312B2JA7lM3IQ50+
u2W9qI+RxcegMjJSShfQVjCaKO/nqb8zB21P15ATlZE9i4TVFjJldFuX8/1P7Y9/MFN/toQK+hjs
r9S+ugVeH+fSF6N85TiDyM5a4prJF3u/sHvGYS5a+8lKZ2aWKJZ//YpfrU0u2D3Ld4irwSwl3K/Y
Oc/iq2QqNqPSM5LrapjbC8b0xnIuDLGP5wwVVjHK5a9f9Ow1/dQ44WMCpBbYbvm+ja95imZslHMo
0hHyQoTXwh/aqyjEiQ+tS95Vc9OtOQS64FqG+tuPV/5PK+43rbgfPMSfvqS/teKOrwTwvH4M375V
P/fj/vq9fwEbDcxN3KQo1Sm4/H/144T5B/MWnc4aLbG/OnV/9eMM4w8I877vc0vDH//h+fvLpOf9
YeJtM/kbn5WYVt+/1Y/7m2EfJagw6BQbLpZA7KdfLOUOLRPZWIW9dId87+fkgQ9edozy5qVVHNTx
9y1Tl7IhAR8devR6cTc8sPvrx1L1T9aQPBOifMEiP21wF3Tbtm6vkqgQCz5FvCw7DatKRSpB42RP
RMNzqPDTp8Epl34/7S3fNYOio4phnrkgwvg3yVKfV4bzM4qWwDLAbsPPMHA8fu41JnomWxxCNpye
ZGk43ToNvxdNdaW74jeuw6+vZPNNOujfKQB9wwbN+/mVIvguogdDvlQGCc6o/qHGHXGLLI0q+s06
cDZofl4IbKj54Dxt18Jg6Zpnk/dPxkpEB0PORBAWrNu/i7AWC5EXj+1EBdP4xi4kdh2dOFkIeo2B
XCCHxL/LmkhunNyExtBu567a2LF45qfuiiI/aQ78eMdpniJtOJSugM27tJ3KXTpu+dYgWllUlkRv
XdTHyY7otDjxsA4tHRdZpwgjlGrR9um4snUSQ2Q4vbr9/FzX8YvFWRfVre785nL/AKZ/WgzBs/kY
8k3XRWzC4v/5GoSOkP1kaf6y9ED/Ertu5FSIlWyhHocbv3yqcvdV8/qFKTk6xiETxD7/yKBf/vS8
/8Pe8+OFPr8RakHME4KWO0bzrx7ziaZPlEeOXGUtqCGjrvHJaOLJi1SzZCj1nnXpweZcH2fZoenm
u9KZrvuQToyF35EmsXltdc1tMsbL0ak3diRe5yR6ySeA+Jnzp90aF/Q/M+S+ZsMRJeUSS+Ihy9U5
FrGEfL5qBeEuWtqOeE/1GZ8hRwahD3f0g29rzT2hP7tTHV0C393O45kZrD9ockRRb1uBZD9r5mTZ
G3Mg0MQtZhCb0nXvhqqxg19f1L99u+ctlREpxkMeJYeV7vP7dKIayVEM86WPs9vKS+r1kOdDUA8j
Oq7uoEJFhzcBi2S7LZK8Zn7p6/l2ypsVZKPfvJmve/2X9+J9qS50l/IFjV64DAsZjADHUt+gP0yb
yTM36rcv92NN+vmGOr8e8xsGOHxTwtS/3NkC5a5HBeEvrXbGqhxVZeC1zbLLB+4K+xZvKekuU14i
59EwRZ5Ne8ja8K7KFzFZFkfnUK0iWmUwo4qnkJBwpLnrPFF34LvTg4mWedGRw7kOnfiaY0xH84am
jzUfvVbZ28QN0Q4ZRU2fAeCWWRoE4XUHz/eTBR63fGXb9TGrNbhUnGCCCpnelsBB/EpOPcPe4jht
NuDOCPy8+vVd8XmJpbQ7XxiUDcShuQQCsO99XvYsPYO2yRcxzza832idVBdjQlh3/htuxD88JhSU
FpsiIjT236/Zb+eEDbMIeaatRBziPv1WOJS3tlfhQPEtnAZKPibjcEtE4g4A4A0aqufQywnjUOFL
E3qLwlEfEVipQk+3TWbetS0jqTLb/PqCfE2V4Ip8fp9UFj9vBFBKRWRWdYpM3D1OxrBWqSCsKcmf
QjboQOh9v5RVT8NDk1Bwx+LU4CxbeBVanDkvFogntQvGG9pqHGlMWUncnzi9EALFuGPrFF6IAsm1
9zMStIeOk/eiqtuLvhx6vHhozio0cQFcLptbjRd29R7hxjwxiccLEmjDhPatjnPOT223KezyERLj
aygrk+domF4mp3sgzc/lECT773nVAyqj5QP4r44OhVvO61T+m2nF50tmgOGlMGCbpoT/8jSnrU+5
YRX+MnLCixY/u0PGemwJUpjM9a+/HuPvN+yPmuOcbQlb2zG+7NNjgtRFWaW/7PF07LtufpzjyjpU
zRQ9yIHmc1bX4DCnk4q+RyIeFqWlwGLChMYMWDbLecIqYyVOc4Vy4jdv7vzan1cZwSiXp5aTDE/T
17IvS3ojdzy66kmekUuxFo52mOv731yBr5UKV9vjgGTim4ebCmzi8w3amGnUgdaPcPHhth7FuJ3A
PC/R2GzIiQTBq7obUMTVa1Y798kwXTsKRD5RBAthF92qnvMqqJu4YDwwXoE7kkfsj4T8Yg76TUHx
T+/U9Ww2RW4LE0no53fawp1GzA4X23NLVpU4X+PuCxx5BojRskQ8Lda6Hh48s/3N/vL1WCdIRkZG
BcsdOxMz+C81KmEa7VxGJfONSjwwwWaJYd5MToJVmDeYPDCk1L95SeOfXpMTM9mDyGdZ4L58Lz5t
OZvQM3/p1+EmN88yp7ga95UNuNOMKe3z7l2m/X0tbQxt7qs5m5KO9RtihmghtbK88MYC7a8FzUAs
4uTu1/fNjxP7p7uT1jD1HQWugAXAU/T52xi12ih1syVxxOuW8Nw2oRMCkudxwYSFjz2ds4PNTTSM
5vfEwS89uy94RMZ164bPTT2jZHJt9J7990TSDRt1BpxoIbU0vhrcdFPJga0KsaBfle8u++1KoDon
o8Tflfw1Q5Jhn+AKw7GtaE119Tp11Lcp1+86/FoG8EQ1Feu+SaEWMKTqrSb9zTckzrv8lysAb/58
2KfLAEnlSxVQxERQeehdl6oXd2buXM9euaWXDryxYjqXnScNOAtO1RhlCyPk/5SAVZspU6s2Ujdt
M9zY9IgXumZ6C/qYi9Fs2OAFDoJcfxI1vq3cV0OAueEYqRYo7MTiXcMXaQYk8+j4jyLCVRWH4avn
0OEhag1Yrf9smPHJwN6GHn3XYAfqk6lYDvj0mKfNH4jGK8QV9UXTxcueN2ro+WWWjccxSY4pjhjM
ZM5r35Lwa1lRkECobVv3VGrphpY+IBY/FUhk3XltF0y6RmLcSjz7TKJQNLY5yE8jHdcS57w1kurO
X+2RZr4PTXRZZk9i9gGifvv1zfi3+s+zKJd5NDna6Zb9dWXo4BUXzCWpx8wF+a+O2J4n58AkIH38
eKX/6TbL/yIgt0nLgzv3/69luuo+WEm+Nc30c//kr1/7S89k/kHignNWLjm0zn/EWvypZxLOH+zk
5zUTDARb7M+BF+4fAvLRmYnkkFFHHND/0zPpf5yBSJx+/sIfGf+OnunrvuGyRBFxqNPTx3LM7PPz
SuWAuNe7qiPIxnOewxG7PM6MIEIXvcjIwgjSuhvXkS+OVWG9/3Sl/uHo+bW8+PrSX6o//MlYCXVF
MJedMpuSeB0wLmyrNHwbavSiv3418/xJPq1I7OIGQZaEmHEsA6r2+ZMmUIE4bBW4VOEr76M6bBe4
5mmYe2a6nlT1RDxNsuGbJp0u67yVL3o89ZWO78Dtnoipw5gyRw9Jnl5NrTg5yQjgM3OCVsevVIdI
RXEkBXGZHAwL3Ouv3z0dt7+9fSo+eKp0ThyTG+rLBm82uRJuX9vgl1ENUxwlBPSggmI2YZ8HU7ND
DwpR5YzA6IpYiPiWPMVL/NUQE0yGHHpXP6Uz0o/E058JmTtKy96go3jDHO4EAKN3dL4Y8g38rJmD
pS08sLTRQHxfKTlNEdy5i2pTv9MKHYcDbLwtaLklxv9AzNeY61HDxqvekTe2k2yjaXhTrJZwTBH7
5ssx7FvyL9JrIdObKps4enxMoI3wlgQvY/xf7J1bb9xItqX/Sj/N07AQvJOYgwNM3jOVklIXS7Jf
CFmWeCeDlyAZ/PXzUeWurupBd50GDgYYoF8KVWUrZaeSsXfsvda3pnnvaw8rnl3613UbcgkzcQyH
gQJvlHgV91Sv2Lj4fWEy209Oa9p7+MLxo5eLu8oAwFKEfGe7GYozjGH9mpW9j58iQ7aR9GwasgL4
FegCf0WxajfoXdNb3RJb4hRjcxB+zprAZ5/tGlF4csBWnIOA0bsTZt1lhHRymMsO+gAAgG9Ac3zc
MWl9iym1Yr+3CPgQKn1D4wGaYEys79Il8kyqXpwG8wp38XgzihkXkQgQ8ENAAR3iWfMJazH6AY+s
s4EIW6Py5Y80zX6kce0dR5QMa8tqxh2ksDujk8BhdXKK8gLMRHJqnPBLPDB89PnRuJ1uD4unfC2z
CBVESQwt+4Tmmg32dlL1I5SY6k/AkhYH0B8eJ3Y16FA8UA4u+zT/74d4OCHNRvba3KoCgPsmdcGw
L9erZCESxHJPu2g/AmCeznOijG9J5C4SuaBBj5M2aAZ9+8tkDet50TyNSgXvUxXoBzsXxb5zow4H
TCfuE1x8z12jFNv5SHx8PlP/3eXqH6Yz/f8K7zM9y6RJ+MdF7eq1rQh1yl9/X9N+ftXPnUDwi7s0
/UQWkca9lKO/anSJdxJUO+GCMgII+rkt+OtOIPgF6S4bJwZLTOwphX+raSby3eXWwq84/Iv3L4U4
/V81jWBXPpAewgNeifXDH096D1WN9PsQU2fnHnSlb2mRP8yAjhdVDtKIu6HOPxqnb/+kxLCI+7uH
gvEko1zXJLkPcRoZwn/8zlii7dmbC7X1orB9j1g+MHt0OC5xY5sxpLYZHUXKRtBmb2vM96Bop+JI
vNxMBlonP5BWo0zDuYRhuoKP8gKGr77KaA/qVZNqp9wgjsFEITodXJyimRBy4ZLe2W5krVmD1PvZ
G/yTAZt0x9RMMsHRkMWAkAvyG9vbMYYxQ7rWG/KUaqMIOM5gUq17MhEBX1QQ8EoiH2Kx9QxLXPXJ
xIRyarN7ezI9dpLTYN+YtWFeitjMAReBtYYCko03dpA9Ih7l+0V66vaT7ZV38D9hjmRk5mTd9aII
Xk3hbM5rxM+YVdM85YtHnebrsgZZZXuG86XnmgwaT5kxAIgQ7UxVuiSAakhQXopqQloYhK1+sREV
WfyUIku+99xhYn5Enltc1HssT4piBMolgpf10ovYBm+M+gFqQm7XpHwawe1odP1HNFkhSTZ1iE4O
b3f4o5cjIjQ90pbHLUou8n87/tXiM7aJWB/cd3UTMZR0dA4g0IpBGJS5HveBCJIrFmjjFQbOigg6
3FO24Xo3U1o6t4Lg2GRr5dq9kJ7lr5lWiXPa0WgpOREQhUZJYSxOsLzMjd+fPFYhIXekqNrXjprO
Qxb0O5SOLGTaLNxlaT9fVdMgvzQgaBTG486IN0xw6icL6tmGO2dggCJgHbVXwRDWFzTCVNPEybmF
ExPbozuvAKI6HUnLhO8q58AwN5WwncT8VBYW4u9V5CM6X1va7BmlFoG+5ffBgiTc03x3Dd8V+OaG
imLfh5fEG+ESCkQELiQFj6k8FMmj6gbHWwXwMod9jIEY0Yiw7L2T+Ki+amTYT64efERBmfYIYByq
iJCPPgDughIqWyH00MeIjqeDsOvKa6WS/ltTWXyQ8ka8xKJO3qPel2+8M+l9l1fhLeOACoGDLnS1
TR2VvCCQXVTjKo13VlbBdmIuO1ww8PJdGAcAgI7yEFlI4TvfRhTwJ5yU3rSOnAHlWzoA5d7AldBb
K52sXdbRs1j1bN9XZoA7dDStnnjVshFogJZoA+bYqPCyeJRsR8zwG3yO5LlNefe2TtDW6IiL3NwE
Yew9oQ0hQUspc9piBJ5ey7rvvoxxiOrBIhvhtSFzYZFNGvkGFQ9WXK/IWrFuzMZ8N7rUfEh6WT4N
bhbdeZPtv1QA2IZVYhcLvmu0xWMcwdqA9TkgtVGMvB9qj76x02pRtjUxfqaI7GsYlWhQ7V2aBPR9
XlsY5MJMPuQttiLzNgHBvEdninkALYa5GhiSH7Q/QyVNANPft+PQLLlWAJNmTLYm7UnEKZIj1CHK
vhiNWy11V67NPMifMJuiLsG+nUECBsP5JgRxMxsPbfVhBlfTrcjh9TUnoeUfFWJ5/FSqRCMksyC7
GGWRXHBIAPNqGTfk8PnM8S6tA/uJHykpN9IrPSRV0ttGjtc+xMpm/ccQZOvabnm3JFpvZ0m26kp6
U/PCkBLlz8Qx9HVEd/yNw5yfaCArUBSdb1buGm+7Ea6bIQaFGE8SlzUyygkRrRgx1/XA846EDp0U
AiYWy0EWGmvEOxwLQxSxGSZifLgZkQg9FaLFO4CZgWY9GkKLiBVCeL6mfTew1lCuK7fCNFhew3bN
rjO4PBfDDeSXQE9uue4ixKrbaKycl7Gc5Y8mntsC2oniSE9FuPiiWVXMa1mQ1EqGHXPZoxkZmMS4
HuQ3yCpFcqlFTA+OBsU+1YMXJ/sOUER40sayadLK5Olq6zL1Nqh3jVc0h9CWdBy1HdKsKoJb2ElQ
I53v7BwbZeNmlDPJiJENHnTNB6cdNg1CRGRzyOFyJvJksjRRrfHPaZe1ORdZQJVTG6hz28HGC/pg
PoVMWQh+D6JrPkntNx/SyrWRt/6TytryNKBYu5ozwUEsaPsPC/SghXmhNKhPk0MvDtLxhnj6AHxO
zkk9g1TBBIkdFl6t6/ggSjzvYcqBTqY4eEpoTiIHFKT89kOrIblr0QnBzyWyYzuIcLwJkP/s+Ivi
dIvr8rmq4/YU50GdrjOfshMzAc4ZdJPTbUE/QxvbXfk8elsyAY3XmXQmNSZky6CI0KuZRup7HLnF
jROpDnvwGMH+zG2Uc2tLIj44REiLid+AJP4KOM1HIuj1uT7XnkY0CHIjeRY2BDA8fDBuEZhORIZI
FrMARRL9YoNXeuT4lRc4Wt4+FpP+WlOfzx4XH/So2CG+EosVMuDpcPoz/UXUSF6znwIuUib0mk4v
wFPPEO23Ubn9xcHMfhNNkXURfue+24RPrgMCz7+4PEhvBAJEzroXXrpbNkCWk2o0m3XPRrot+vbH
nA6xXLtN55P4ExouMr3Os+7AqamHujbVUQkrL87NMPhfXZUkHzOQ8IQckgZDklkAv1kpfJQEEmLx
Bk84T87QrFECBy/alN4r1SW9Q1CSoHKLZGlOK0u1sHPrXoLfRYOa+7dgDeqGWxQy/SN5hC6bPrtF
yoByezPZRcdDgPht6ozstbHC6KYe6uehxIqORn/aJJlZM6TudLKjMQBvAGXMH6504ixGJCivEDPc
wluXEdnS+H8MAsR5J6CXaPa10lhS0K3grbF6+6pKsI/BdYMYSY4eFI3GMDz0j+bXxouaL/lkO9+x
p4bFAe9jHW9Dq0vhg0CESzA8+/1H4BlZs2oUqoctCvngXtheHO0UoDC9CvI46jbJpDKeTlvhfx5H
u+VDM5TK3ArIrWwpiMisr9TgOM9j3/CJKskPoRFCLb1mx2qyzxNcWwMiCGFL9JP50eaYxzmnCyB4
bTVgZVHOdMv+urM2WNCHbQJyEydvwnjlnCOmOKVNanyP0lYFK0T8KELzNhBryWQCwcTiFCpwsXyL
YeR4a7vTGRAjm1MgRHLJxHY2zIcqkI5ziAcEhxSqefxCMoGgGBud3R11ZNshOKKIKHJsC4ve0Bb2
vQCaFOyK0RshJ5B5BFTArvCVe5b/o4zQbk5kBwdhXmzaRoZruze9nTs4yTNTdiAYxkzH1kaJucrL
rl4NQrewlyckFmEVQWPqTeNNm7H8itij6tEojg68mQznO4CioISwbOhVF6X2Ss2Sb4bj+FZl0Kig
ZSSb0h7EyoAmBCSuOsQhQIgVnDbnLgN0sEXTHOysri22i7KTkjtEFx25EPJ9haEiaEswM5b5zCfR
/hhREm/bIQXD3dZ+ePFVi5eILACDVyz8+xlAXL0VfZg8GNosry018v7xUDxNzshxVdjQQ/dBl+nn
yAm6x67tE7FJZxdbuvLizgQLI9VHSDf45mAk8dB4dgl0TxtgNCJ2M/iwg24gNNtIkkdH6poS21nO
9djZ6EAsgwTT2OJTiDJ6rEjmI2ntIzV8MsvmpnwYZw4V6JGRhChTaj9dRVWMDj3q+8kCJm1PAdGV
kz45fBBpemGocQ+g0oqcwPUVphA7oYxVTXFT0s1DtwI7Lcg5K9ptbEJykXlj3Nd6BnKIuRxbuT9j
TGxafztayMCZ+tjGym3UKFZF5RmnvIjw8k06RYHhJ7BJ6miY0fhGiH9XFEqs9DGUC2fDRIPohHj2
0FmnrKWB4jqat9Z36i9mX5Y7iZ3JA/ggxdW07Hy3fVeF3Tp2u+JZqyDsTqWhkvfcj1vSXJknmSuQ
wLSIuFPjnmGaVT8JZRePI27JH1YZ14dR60keVcozCi6da15styiLwXCLHddY93bUuTZXNqbEcGXF
wrwK44H2MMQLinqhYt4JwA7q8gotgMWQq66bu/YzMBcKcejiwiRL11MG1xyCbMXF8lPCdovP4F0m
cOLRRyW7Go3ivfoM6M0/w3pRg2F/GkoDz4vrEerrtaN7Q1YoLWSCRDY4pWUgTlFb8YGLePKPxNm0
l84mWRXkiwMVzMFktRomme1TyxFY02IYFEad/fD8ToCf9lPziluye+dl1ZUZzGI1NvWxtKz5Zkry
L8mMtafn8oUNbdxXnQPWpTb6jWXG1mq0vNuOB+A2NdD6aq9Hfl44gnsD7UdbD12y0n6fEx0+c7GY
02xDipgiGhcETG636b5qzOpudPryUuq23vQmXeMCjmgjvo12inNdmekWHnG2Aq1EczFl3i3r+G5X
1cVBUdjWGf0lptLxUnmteBIVjk4O2CzcYOZ4BhUBTzi1vHu8AcySZaZ3bjXdIuEnOs5ylXeonSk8
Rn5EpOsIHWbghMIeEEZNemWa8FrrNg3mrWiL6iYJ6vA0D+3oQDAI4VNzeL8Hnb9vAtF9SJ3kl3gA
ttoPVfi1Bgx78hPLfrHYkv0IKKBo8yWXs6LmtzhKMIdLo8Td8oq5cZmXJeZ6suVEx5t08rFse3Gw
sFQg+g+1+UgAknEFNVmtBkhUBx+g+xfpN/m3SIkZHKnQxseg/Kr7Zudcg2gAUuhdVYSxY99m+Rhw
ksJD7lMnFsdUyeIHFHXwbmZCZwmOlwKWTRiHGfnqfNwVA91kngXhHatuEtvMoFE75Y7YYRMhMZ5h
VoSx4AKjcjb5UjNlQBjkypYBB1UAgyTf0CN1J/l57PT80b72njMPmwnmAwPkyeBDARh3Jgmw5Jqw
qzO7mtZWTaL1WvoKpJRdmWCB/NF8ly7peRsHFpLeBIxYj+EQTuGhbKCXrO0qoYke7cJ7D2K72KRM
cq66sRtvNHA1H7tSQmOqzMx7a0unJ3w3btI7xgL1oVe2fe/0pIVt40BwJEaBNwLFm2O0irKriW0s
fe3uU6R/5CkW1QBGZbDEWbVSHop+oHvqgwTPV21M/Vuv56D/VZ7z7/non6mmF1XBP52PvrevS2Da
3wAG5q9f8nM46v8CCwVpiikCUBj+71JNlqx6VlCo/T/3fb/L4TUtBNPcXjCj2QG6/EVG8TfBNANV
hqMIUMBSoBj9VxZ+7H7/bkiJxQDFqSssJrHM+ry/27uxGzJGjF/51gbW5kU1PRlupyJdQ4JU5ypj
fhWBxcZ0M9cH8jT6Y42/r1gHZSivk9zon52RTpIFUZK9eJLCwAe9qo9FZAJLD4OcdE2QKxVGsyG4
FQlCgOPgeWN6bt2mfnPmRQFZMd87KeExXlB1qgYCSCPoHs6MvWXbcxJWS7xpNhG2LTxMcQCkK4wS
5SYYAg+MjY0NCIQg0QYrDfmHHQLTtS/w/bN8W3FZOGPmj67mrmnVKUiE99zMo/Uc+Vbw2CXGeFvP
PdKYYRnxeZWIWdQEHgEHedIFuI1VeLJMghs6EouB4BoCCtqAYXM4WXSQYktgWYs5BE/YA6HGyt3l
JIsXm0bPDTje2GREC6/PrzZOnkzRbeIDvN26ULzRrEEDxlPbjMV46w1goSCpOH1HK+q0xVrWuUMS
cmZOA/fJmLFPmpXyA+FofbbQosNCSHWLf5xw3gOx6+QEILKmt3bGTNN6WTBsotxKkx3dVtGDjUAc
uRlDfOkrb5T5W27UszxqUxWLegnU/tqJveBF0HPe5iy/DvxknEeuEsNBR5EGW6zDC0KUqiciJWun
bdeJ+otl4zVazVk5EaIat/lJtpOIuYG105OQuY+VXnhvHGs2xk1PuWAR1MRbE8QBmlAwu8VWuZ31
jPFcPdMYODDPC6cjQlYg6MRe7TdXWamqBwd4J7EiQQPjTNKhj0dn6hO9jsqYi9vnwel+HqJqOU+z
5WRFfJveYbLnuB2Wk5fKwiHcYN9jnRta4022nNLhcl7HyvTenc9DPJpdOiRmNBzu4M/DowMmAUHJ
5/GvlkrgLDWh+SwPJXAQ4H9zWE4wrZcSMn6WE/1ZWvRnmVGfJQd6sf+1+SxEXOS6UxfMU85sailV
uH0oW0K26sP7LGZUpAp+72eRK2WOStFaal/0WQaFXUV3ZBOSdvtZJhm58QwSE0n5ZMdBKY0tqmoD
zPeH+iy1DLEEwTiuajdMEJmJrEYnCfIVT3T5EIYp4BxuHzlIJogRXHVoD7MnOYc3ha+mbaXa0SdU
wiN7UFiMDZTvHQrtj9lBdCJ7qqxR7Fmnz1sfvOEZtETBlZnC30wWERVpPvrj4hPrzTuzTeundrSx
THT2gTygUa1Du5fZyQlLMNxJtu2LTg/7LGJmccTS662gDbjXQgUw6fqgEiPfAHM8umWQcd/trpzP
1mAOIQt6PicQ36JcP7lOAJCl0XoQ8coGOgskQImi5do3ZMwfyyxPv0cGkJFRVd73nNUvFuS4b5Ij
rMFqvk3zwtRrk0dG7UJXerg1g3ji2heGvR0cvRCJ0K0NKWy+Ngwje+oRAjBztnucGWrirpChuLOU
f8DszDG/irqEaXyc+/UOP13zWk/yqiJgZcs9YjMxs1gxFLe5OCsEg67L33b1P/+myMiJUbh01tDv
TSnzX/WT/y7uf1bcBbJBxC7/rL5fv8cJBV7/scT/9oW/VvmQgk0NtSmliz3qE0b0E1MUAhxyPQ8l
AVvsX3/l5wrU8n7BmrOId32q1FLmf6vylvsLFZn9KItLRJzYGf+lKv9phfid3IUeQziL1oXQE0yF
MGD+uIpUxDEFLkuJQxu20Mishpwg3KYzlxkzTOHe50Vx6j2geUfwPerBMXVAhvhoZjN6n8j+0uDj
P+KG9/KNXPLIoL2gi1i7I97kPeR8+0vY+fY1OYzitjQMBom2W3mw5yZkGzAsnIyTtK7JhBA6aORZ
wJk5shEgYsuNE+I3oj5+7FBdiNVgUKpYiODLNFVzFShfvUiHLGQMHyFMIYJIWXfdC6aEm8EWN1rD
vA1zyT04Z1Dx1hSNHNcZxwKqfyeOzyLr2G61TJbOLlcaptZOstAvi2DvzEV5YKQCO8BKrUPkBhNa
6tk+6FSnB8tpwnVl6AliZqG9uzGxw0duX8Eeg+h4TTJKuM6Yia3s0Ba4vdH30ixUuHS8tTVAzngC
Ukp0VcSjThcEq9rkzsQNCF79oiMnOvFsWVEan8ZqHO7Qq3gaMUntxGdiYbIRi9ow2KhwlolzCIAN
qaYZsTOLoQUDxAM2QatkkrpGWExomHczQjF928aBV92ZjjCYh4gmag+Q4NroSBa4OTOB7ck4wNAf
2puaM3bYKuW5884ekuKFSKwG5CqXPmtnzjS0qyKxuAhZBKMAzZ+7gQrkdcPe7wUhELWM4dLJMsRc
q8wnNxqR08BIjLlFdR9hOMFAJMTGqgLrDIGCaYCNt9dgzPbiey2BxyK6jBO1yGtG0hb6qQyv7Xbc
lJqqbaa52HmiKOERRdm0alyBAd6puh92OQBxYPSU7lOwC+amqAUERE8Gjy68HSZjPvNzhm998FCY
hj6Tp4GuZkrdBWGG1TfXzUbZMFcJhkn2QLDrE/1ZuYHFEdNTBSfV6nCrWVA/RlVq7oamdk8eDmya
MQOgrCluY+bwWOW7B01+FYBMr7s1YjPaMbpkPNrbykFN1DJoJhMU11hT8v9J9xiLs0vbueG1WuLX
i/LcNrCDgUI76SOfVnVVC9tE6WrVGudxmGZHEo5GuaojBd/B9IikjdUxHsb8Ngyi4WvPzzZiL0qx
ZA43adY4I9us1WyMoD1bwoTL0n8ilaC8a3S9r8clgCFctrvZkP4ga37ctoEvH0oS5fZ+ojLe90zv
PehUX/2wd46FMSvMVPq9VsQZrYjRKLdwLsitNrJsB67VyF+kMXoPI+FXOaP83P8mdW/SnII7PI6Q
83fTNKF8tqS9SAnU1h1oZJjRNfs59Md1O7nFujTtfFfgMlg7bVwcQDOf4Fp4nDDldI24WL0wjyT1
rIuLC9W/OS3cgVOjk/A2tpvo1UGY1a8/D/p/l8U/K4suB9Y/q4mn17JUf/kfr6X8X3+5emUcnLZ/
uAD/+vU/L8CIV4NFakzwu+O40CF/UwfZXI0FfZhPeXKxQFKVfpZG2/3FZICGZYxxU2ghLPqtNNoo
aH1ES0wwkct6EDP/ldLoeIs74G+lEYAC+Dtf+O7fXXwrS8WmUvjsy6hlWG9Eo8l5RG4HSVvDjYRU
XW/DiAEc2+gRu6hiILQVNG5XehqiYx3HzU4nvnvjLeZ4VCw+EH41HSDXligwIxKyJCdCzbTKHDZR
B+l9jOxu1dS9ZrDp2yBfQKNPYcFzx0x+2zUiOXC5bm5NTttncNktaTl1si/NsYeWht0NHGd4rGYe
Azutyi0og/ZUpgPgJ6r4axC2HuFjzHQ3USbDYdPVtrsJMkfu8zLHA6KZfNdyBLgyxnb2UDdVj/QI
vuF5JlwGeHA99e+xv8QpuHBVHvvKqO/JWEz1VQN49Eq3nOMSackuAquwZyf2w8kg9+EHYf5PUgpa
Dei64zqypLOvEy96K9ycSE8oUlfNIqafumr+auRDtp3mnu4/yt1T7if6UeXwAq46cr7sdVgweyCL
69dZeeleVy3aUGKj1IoDNLpyEep+Jw9vWEH1NjaEKzF/BVaOk02073VW5c8+FOHnOA3VQTjSekFn
OjGAc5OKSbWt93MRqn6NQ7R9Y8AXnWwOVmsPqy8XhBt07nE0kKmsyC0wHg2jhFY+O37E16ki/NDm
PB+KaWbhlhZGe8U0X74aMkXgajlcQoyy7+npC7FhkcSrpDKRxCXYbb/t2sk4VAv1ioE2gAXq/QZu
lNjYnkWpiFNl3aNJKbni81PYWK0tn/LUmcBYEC0bf+nskQ1VOViYE2cPeQKEEnBLzNiD+Lak1zyG
ZZNcXDjsa1MynODHXY8EqUGw0wQpJfoSxTgiu5Yq4PCS1qXlj/iqsomVocsKdVPpxgVZbsCarIyx
3kWzjxSl4rscE8fQwFjM6ENLjz9TVxIYuh3MZFE88FFJUCc01r3vddFrKNCTrdzI4B+TaW3nMnWZ
u4c69HY24/YzKbTdRvh1e1eTMoffIiS5accyLUPoOqf3qVPEHy5RU7joSHbThDewWCYsvVpxh+vV
Ck5FRyIi4xl1yAJD/IhcQ7/OyUz+Fd/WJaLFtD9Y6Ac80rFbN5sB2S5LHzsgvdBOSbxdYdLrh+ty
qNibFDkXcaY9Vk12zuA6h9AtweBaBor5S5LOMt0w0YgrEkzgIjFCYH29ZXPiPrDNZ0JvS2ORy6EC
JuTKbIJiZU1KvMO7rY+w0U3IM+UMphgkp1/h9Yjck6n9GLFLEYb3xTS9WWJwGMbU7pvD9uWAUau/
n9iTnCcVM8U2GweVH5GyazOQ09PENuYVF0F6LL02P0pNAmxrKfYWhdcvCqjQeihkt6Rjz8z/1+VI
i8ibWfRXdPWQNlzdpsNKe6GSjLDIlCMhNX5AlgJSfZDhO1w9eMJTb/RPIcjN7ylxVWgZsmHnNcyC
oE6OF/DygM+1W16yECoiWjmDASK3B+ebAa8EYLRvl7Qgs6jPUKm5QpP89Y0XKQ9ZIsSly0yHhUD4
La+QJxWV9M7zQORuoFp3mw6wG3ptu99AUvlo0BW4er9DD7XuoSNvJQjydZrIfGBfjTBwPViueywD
urnSRmy1Cfzlp9b7VnTOssWu56UBAZKlkNtJBtGZ6M4CrqIh4NqxMezklndHvLoSPbW3IPlE14X3
JJbfETo3rmOuRwz+kI66RoDWZ3KVfERxGF6VspjWseOkb7WVOCflznormDbsbe4txyFj8OV2abBm
hpofrNRwN4WbIEhqADHyqLfbejnTK537m6YnztaLJ+drESMzIynOaffuyKYjB2p3Y3DuXZeMlEkU
MdpN4kbDhnjA7t7lnL+QlBIhYwBECH4rJ/F1TJyLp5z8ESxe8m76VcguLM3p+QMrBOw8Mb8JRXpA
GMZazYmNkwxJ8nFgxdfrYiIUcyPHMruO3XLMt6Y9zt/xlXWHLC/Te659AIKm/i6c67DYcFqSvEtw
k/WVuh2SwpUDyHBdLk6zQNQ1dPHYrOk9yxPebF3dOoCtnrKpTj6Y08b3CtfioyW5ivJ0jOH3eARg
anStc8OSr33FM+89K+xzQI1Y8YZcoQ6O08+AcSvT2FULZQKl3ujfERvvn4t29jawGsfz0BrOjdck
iNmczIxI5SVXdEYIdQwtgKgxQEIAsgPQeHB9PcDQrLh3/a7csm1BHzDLpH1H4ZwmN5Y/zGAYbJNs
DFQzgFXzmlQk+ObnJM1Qjurl7oEP+zwH5fDV6uJshxEISadXuvshLFE+xgj2EWxFEa2yCaa1yW15
g23YlxyBjfVu4y1hxcfxm3caZLhYjBeNCrq3CNMceonK2hEMapzmYFbvZcCRXJPr9NBy7ULV5IDo
sv04wNIS569WGiKWqkIrvo1zOHHoG9t017guXD1kT0eFHplqwJrriqGmeTWUYtwwHlZ7iX16T7wM
J53B1xwhX+ZnJK/TJQsSb9/PIjt1XtDwbvbNF1RpuDwpJ9xedXQAk97dj24774wg8h+7LBwuyTDa
h7nU1OuqT68C8ncTYVbHbjAcmoGOCbKfef4Z5UP8/f9tG7/cF95qyXGI8rb7z//4eX9Y+Dl/+A9S
fInOvVPvrb5/Z3zQ/+d//AqzWH7nf/UXf+6R/qxDh7QD44aG+R8L9/93q6rXN2ZXf7m0rz/eu+QP
LfpvL/BzgOX/sliJQiDbFmMn2vS/dukhanxWYCHdOK7n4HdbKitEwo/fOsSChMzft/AR/NxSMdri
Tobgn5eDFIQj5F9p0j/vCL9r0pf7A0MyF6eWjVXLhVHyx/kV2dhSp1YyHNs0jTPSiLr8FnmaInYq
UrAkuV8W2aGkgBBJJaHjrsirVM0GqLJ1hGiYbTEQt0eSTFzv2hQ57eqA0YjkPLtLv2JkDxskk7CY
t5Dx4hMA6HAHedsS23YUdnxTs2xKDwhA5FevEIiBazMFUIP0NF5WPARpbi3+Bk/dGDs7k10xzlQ5
bCGBWoQ4Bs53OescskHj0HwbYCWLDay7ADUogDFW2zi0DhMw4nltoUS1Ds2ETbgtZ6Y/xlANwcW2
GvKlHClLHmLXjK8rrlx3JAXQxeTN4AOIy0bprhujIYLVxhb7kaSiJnU0DkLyNIhMvK+SCN1EyLbk
pXEKS+0D8rfe0Nr3F5lBouimslLrIJNgaFHMDa8E8kxHbB2wIErppV8dw+sOLTKiEka+EHekZbZU
dMs7miaSdbhLi8ybeDZvZRNi/ogYS7+YcDf7FekJEbRoUTNVC3yVUQrb3AOvmJXuVi6jQ4trzvU4
zcaVXYIca2YnnW/slJnHg9XWtskATzfxzgnZ+j8P4AWPukk6c1uEgAkQAcdWA8LWJCB+VcRYu49N
17niNljeF2K8ZhtuCIKpZFn5QXNd9W2brSJPyhers/MtG4flzUqOqk/oLyo5bnkZ5wqnZHNgi1nq
W5PNIpNAWD3mLbckRBqG3zNpHLMGrN/iCCR5kfg38ZHpBphhnltrXATcFQ1iEwyJK7BtTEjbqqNX
0dF8Q4o41HSbxY+enX6X5iZtRexi3UdHNjobO1T+A1soKLeGiapl8aMZBY2Jk0UPHXKzG4IJn5mr
ZOvcq84tnw80b+4Ps2RYSyzYOMXVnqQsYhy7kAShilQte+6ra3wA1QlziHMP+c04etOQU8co30Ac
gn3plKCZ64UO3JwTwuS54TkkskfBtWOK7hriPVqmAV5ekYw+P1Un+eFAd90HyOyfU+RyN4Oduwc1
WIjDwlqvjDAh0JAO4DYPpL+1C1Xf+wTP3LQVHg8ndxH/cwHEcchI8EtcTA/ko7HMhYR51Ap/e+P7
7Ul6CSLeELqAP6HqcursO5mnNhA+k6y1BY0MQSTaeVHhbJ1qZKpGCsBqiMJ1avbqmm3Y3KzY2EIY
h9bxWCTyMsh2P9BQsPWGirJus6S/jZKiW9PC9ZAPU5uoC661rrUf0BgSbUzWDOkcwjceqkq+K5Ve
8tHsueqwQy96nBJV1vm3PXqrlzgwQLjyKysCYasXh7hVDiP70Rn4/BNBv3LL6EdhJntTVeHFIA/4
vc1SPum1vJJkya3MERgq2m6Y6+TT+1V/pYBhrpvR4Ccv4bKisp4NksMZ9BaK9jtyoQvYxXK/6f0d
sLAOrSAZZxUU6HUJUnM9+mjwCu3OL/+HujPprRw50/Vfueg9CySDwWHRvTjzoCMdjSlpQ6SUmZyD
M4Pkr++HKl+7XLB927u+QMFAAc6soyMy4vve0eBz78jXQd1P+vUeD6m++HFmm2Tiagoty0eXrp1T
Dm+wDsx82NkaVZ3vjM4WV6m6b2gZ2RIIHyGkL+Zbqvt6B0hzlAdWRLHKBmLlwTmhS9aOgylwImdn
gLOzp5ckhY+dqEC7DQDut27mZVvmTvnZ1c2vqhZiA9lXn0Y3FLuYMqRtZznJGt6huAJwI2PuWvs0
5iL7KCuldqYkUBhBnVRXRDQ0yQ2mf+BJ4CTsCAPeyqn2v2mmoB/sCtTv/OFWvf4OFf0flGtLw0/X
/ud/uIsa4+9vJ2margO94pk29MpiZftjck1ZNnXMOhMffbsdug2hZIWLwqmc7lpViGddUnKDioes
EC1IAVmpZlBPlCtN2ybOrR99VAfpzVQygW2zTs4Hg35pc9Usv/116dPUutKm9qp17BHkv7X7hAZp
RZ7CUfaFr+9GgGYModmsSRYV2cOEmpjWmCxwB3muktm/zHOfXWMfeYRTV+HSPSBEh1+gaz+oCDZc
iEr32zJvrjEuTGBCniEho2v+duw/rr4ElGYfCTid8BEh0JsjY9xROWmvZmKkD3L0ghORC6RV2j3G
iJzINlgj9sYUebSrDaqcenr46B9GTtIxh4CpyXTnjdxbnV/6q9KZq7Wrg3k6+C47JBmmlh7yvWfh
9aLa1xwOjcmaeePR3LgF50JX1g/GT9/zplOLHPWYR+XSRQfp8ZDBBFCb2Mm7YmoFMsSYnE49bWeS
LXbU80oyGeZ+KR+yyruCYg7WTYxgsnPlN2VUSCiFj5sCGmmHcAXTkTl12wrpyk4QGxFLX61b+a7S
6Uyv7/eys/Z9XBEU1ZrObUXt39DQvAqoVlqxBZA2N2BwafsQmxnl5yVfHPPGWqG841xBVnxQZp98
t2q5hJ4zjqP2PnWGerB1n9zGyONXAWqB65DEBw8X95FrJVtD4uQvDdW64aqVoj7OXo+QZKraYVvR
c7oKika9UrAHxmJXH6OO5bppnGAl50AdLJ7Nu9qrrcckkp8e2sOHMubNE1hvb1sgjIjBPSZN3J9l
OB99ouWjkxqiQP3IJ6d6zR23pKAkQ7+0D6jgvK3marA5lKUcvwXzaC311Wb1faIX+I1cVWd+BAmi
I3tCKThh5oVbsEQU3/pVJwguh37XaejRFDL0YhtJYXwMcYYAqHAHvVZWJ/csJckG0TkReEXqPgph
dJ8it4MV8vni0VZjH2+9KJv3Mgchy+teYhKOm0tPM8lAIr2K3mXhRw+m0zkXouWZCGrNPU9R7caF
Gdq6ruE/1Rk7pJMIMmI8DiWukzGyDhp84JSwc5E+blixSc+YkT2QKKz12ieklXaFJsNQkeVFl9Ke
lOp2y2FXEbQCYrCJOLEqTC9zX2PimaLboosCvk475doHwtiCndW02KbFN64W5yfyq/7A6NURWCYI
DxJVzcKapTQCYP5Qh2piRzqNPlG/W91b6sWVaXbJpkzclk4xPERpELz2rbCe0BYaO2pQogca0Rl5
BD6rRz4GcMBMDSGlIFxN+JHMk+vr4RzXjizXEinpTZzlg8JfVctFE9Zu7cZ+myqVnJD9o2swpyx9
y7vEe51C/WuoerQlljUMB8tUO3tKuLq0TGkMzabxvRETAmjSJGpIV+UX31szHh5pW3Few9EjLZM+
QTxMUWujeEhYsQ+kCIn3GdXQhkvJeHO7JH1IrDD4XrX1+GQ5o7pJ0bJh4sAEyFxCPR7F4uYApmku
XfR03hEfi/n2E91NeqiMvqu3AsR23Mo+67lXyyTSa8RD07vpNwaG/AqplApTnAb4nLKz4aT1BQuG
3pizPfwwi4Z0d7Nr/W+WMhs0SIFtiDNgN0LuxDaJme41xtS8GpMF9m8aF+TLtN/8pikepfazow5B
tlF8RtQ39A5ZQE6ogrUMmMRWIHPtiUOv7eERyJnZlGFNtaoctY3uFIHPAS1//DGlJUnwRZgPlyqd
qfQhZJka0sxr57PPjG2SkhDBTnC87ITuvB+ssxZAq9uf4tRusj2djPNL18R2tbUg6BBHjcYzBZPx
le5K/6Mcre5xsFihxuWRZHnKyLxpkJhrbLlpwitf84xQ+KkWmK6y6Byylsb5sdCQt11ESh8FTtG1
k8H81JkJrr905LD3zJhenJGuw19d71BY2RaYXlaIx+TtHCRY8UQuhks9q/5tjoUAY2qndscjX/+c
Ohp2KSgBL6FCJHpVYxIFRKl5EdZAx/llJ0ssXBHl9bboEpLI68TDAmwM2UCsfFa/WAVoJ2F/Y0GZ
O516Ky5RvQ0yf0Iza7QIsIiz7s5A4sFd6ofBA9+PwrBnMXW6bfOGuNdCniCU2jQML9V6TOrqjeLt
jkQlv0OyiApJbq1Ij0esxXovCk6ATSolNC78Dc9jWo3lneNUyR2dbhEuIIGuUDuRODQqoSqAQEYU
FSLNOnzbieOVYHhd8JJDPZPaVXrPlmFNH+wxlAamY+I4q1oRkMGjkDS3zTROhPJ3wXidGv2KzvNx
MLr6iTL6Gr3dqMq7funKvRJpGh+G2Zbf3dlYOhSmvLtN4IyPNc3x22q029e+Fu2vMTJ9uHBd+o+l
ORaP2NSjl0nn3ETZ4MVIsoqYrAYPp3OkLJXtGISNS1QiZtn11F4e4yiFEUhE/NyQSnGalOiaU0bf
XLoPemNg1caTcAsW2dx5PtrGPK7nBzcpxhWBJ+2RZBP/zbPM8bFh3Bo3Fn2oR1YlN9pZGLiOoMRF
s+vqqdjMPU8nhMFUenc1vay8QAAf69kfpr1Za/Gddonm2NdmeWuStYSE3ZuojGwcHbBPVkxgcdug
2g5qY7wajaaKNpf6EydJ9yOqcsRemHqKZoMmdZlYOSe+s86ixmSFx3wuXVgFZdgAEFJ7jEXp9BLB
sFvUPy8e1wCpP7s0CV3tBh8j4y/NHASbR1hONhALNR0mfffkyDy1Nk4IbLYyc6GifUTc4Ap8sL74
1Lbs89rFaISZ67XCl5OhsClcnuFmOTexoUwCio3zqO5GPAxV1jAFDGzCyX6snYn5wiuX4HCmIlqj
7HILOI42wMyDmUaGLvqcm1mcWx/2a+vXeFmYHqKMSC1qY85tmtfmSuhwmk4Llx8dfcS6UD1OOb1X
AWOb2afF81gH9U+JvP9oGoH6JmUWvwRq6GmqsJFtaNOwjqXldHsXqvBIeZePoUj1vzJLT2zEgp4Q
XHcKGL1u/YFgrLDddaM09lxJ9KEvrpfBZBmDOGXNjwBTVkXkwZTAoPQrN6jk00zZ79LUk66iwD15
0KK7Kc/FVrXB/DjQ3Hubg85sbCNDlxzSJL1OxrR8aN0g/EQGa+Nea+rHHAsld3bbIuIjUYd9sRPJ
wwwotWtpXPrmBPgj4YrGp7Ly1JHVsSWehu5sQgq0vwlUFV7a3JQnPHfV09Qx+jdGPh0iDz8mfcHq
V+l7is71Rj7x2DMJp87JSlpxHK2wo1V2cM4FCtCzN1vjgQgJPJPRouLohNrbWY0pWT4ykzf32hvR
xUaRcxP3ojxkbuK+mfzmPkIBFs0OJHdD4jSwkFZ2U+GjvrbetAamomKAOm2sCjY4A2UX0S/fiZ/D
0cgPDh7kosnFntkO8xR75hb+pbnpqu4tGDCS4YPS+wCd6TamA4p8QQgFTHHfAg6si4orfYTo+CTw
I1zQClTlTVqhhpHMA3Z/smMSadyoy8+hn9qbTsVUsVlj/p4KreBY4WECwYrA7dAeED93hw7iZmN0
OD/4edod6lJUSwGRyFye/3qNs/6khPcXJYJYVPAICyzLcpct7w9B1AbHr9IcJEd7SGzGzmVKg0uK
qNtUjl6TLMGbS0aktap6Ue3I5fCOuhDh+P/6IOJPWVh8Es+1HAoMcbKimPD/FOvZ9GE9FpaHQI7O
p3Rou484gHq5rwYnaO98H+3xleIUT2zzudDEKtKpjOM97aztNPB+x87wgs1RgpNNeMKJyyXXgzop
SdMxUi/P2ZCSKr/VnZ1fA/oELrh+8lfksjOwxALIwRVaH54aFVo2tsZvwB+IeLpOPNqDNj6bOGTw
7qmIIeO/R6FeR8lrl5CqwBHnXCCUAAX8wfzmNxEPShKP93XpEm4LErvIqkxCpAli2oipFAwSIrrT
JRVrHTa0B88rpjMd4+LS5xHXoZL5Toz5qy1K855W3RNEBTXDC2jpLfBl9YVkDmPHCWlQdBHj+2vk
Q/UFe0ZfEKgnbfNX9QWMoujzfqDG9K+jzJqHOZqtb64wsVPX2cICQsMiUkDBa5Ot4ieHpM/H54B2
iWRNpwjTvfU16RNuwtRPgDgbAIm606dUDWenicMh/doTLFpGDuHIjda1dWBDySzrBGiS+50IEFgx
6giPRmg/R3Lqj9VI55MR8sVn8ySprApKb2UsOwtRG6wv/rLJFMtO4y7bjb/sOWGM9H2LgJzOcFT5
qxSRyKdYdiN/2ZLimIbTpoJ2smu6+NIFEV1zmhgfFKKyZI3LvkWqhfsRLDuYvWxjkwG8jQiFFQ0s
h3UNLtCeH13ZZm/Szqvv0psJWFZTJ8ZvuVvzJUnaD2+7mf1yrx0XLBwgvXptwspVP4zYhaSNZR/9
Qg5X1td//b7aX6D/35Q7kALIdmAlbGnDT5Be9WdR69K0K2Kuk4RZ61IZY3RT6qTG6S2yI3EH/rH2
mwI1Sl+G27Ehoisvw5t4LJOSoh89ntwuqkHTZkJTQABoDFao9B7YeqgyccBJX5tiqAYoO1E/Opqw
qsqmsyWaEr11vfGuyMM7jBuoEEgMGG4ssk87CIUx/KQPUOzcpHKPLq3c9zYGYCB9ZJfCtR5Jj7lT
dngNcnz6URj1IMDhzjKjR95xcWsW84XFLMCT75j0FyamhFSUc8+VXfvuIU5qifLFZUDl7jAPQ+Xl
V7SJ5lWU1uBsS0dGT5ZHTFqEzn0bjT0y0FIsMcesbe0th0t99Zt2pMacrpuNBFvWRCOIYNjKMc9O
MzEm9bq3GqK1C4rQf5BwQCxf5vcMkgh7bYT7L3NEM3wp0mHtSPz3AXW8GFtzL3yLYRXeRjkh7YXs
J/+4y+I9qa8GElYykOAs0m5HvMdSqy155RxXu/x8DYLkCU0i5u0g4PrqzXDPJqxIkm+DCekImXd0
yfR0RrlmE95jzog/CssJ950XJdswVMbDCDICUpD4ZOTL4ZSn/mJITKxboMWZp5KhM08RpWYoHd4D
lROIAoKztgxfPWRJ6iOUkVX9bE4hb0CEZH/QHZgZTE68c6mzWnuzHHaTV3dvg20lT+RQ2y91WqhD
aM5mvC6HmqOJ4s/7ue2iDS4/cZacUouFpduWcA2kj8fe1Yut9FmZLcWJWQwJjbondE4J6vGcJcYN
b5ZMBjLTYpP3GgPzTVWUeDR0tcOYzGz5dRPNcevcuzh5L5ranQJ4x+zDFebFzr8qGu0EFaSQSNYX
n2R1Y0/Y0hfPBLeu7xtQ3XkdVQsTFbY5rBSEOm4pV9kf1hdrFcBf2V9MViuk2PW29l7yL6ZL2Qi8
V2Wi2T4TTm+14XSr3iLQveQgSKiLEIdUlkkJeD3+oGR2pAprxL3CIADblpZYPmjLHPlfNgPhXug9
bI5NPqdbraV1rO26Y66uqfla9WgL+lUXpFmKysdF6TwBYMhNg+3zLHrBPFF/YbrjAu9m0nrFSCN9
YqueMGERYbC8IHYKM+QlJ4rT6dUaAm9XWWW/fOp2JyFazyMikm1rlPJQZVOLE+CvrOs/wIf/XmC4
HFNYckjNdvCmCUs46B//OFeYIPMZkKh3DCJJ6epdnTU31XD/9R/5t6Sq/7Nsuqey4J8vEvuvpPbv
NPZf//V/CcdNBCmTz1+/6oVF/ws7fvu9oHT6kBT/nN/+/Q//RYIaUE3j07xAnI7j/+7B+FvoauD4
sFbQpUvRDTrT/ytBFb8hF7JIZHU93yZdmintL+y2MH8TrJt+wHGNWvvf9WD+ed5zTA99psX8id8D
7htF6989IbaXz5UmC2dPQRgt2147MeYvrA8Lav3pdAIhqBkHL7qWBHAabKkF2pkN7qvwaLu1/cNs
ZnXIBiI6CKe/68G09w7TynveZN6unF2Wm7HL6s+6M6tV0NZADhog0mALevA5DHdljyttZSVEuJB/
sZTftN5DZVCMQvRT5XyGOU5F0s7ceDcYxW4K+kuSOsRW0yG46eEpjvUcHenndVYTCNkOQv0OVLs+
VEHUv7oQHD8yw+VMiuMp3DdG2O9wVQt/nZPF+SNKnPC9l2F/YpliqHBHEtXbMj4gTJj2k20S+TnW
/Say80swJf4d6VYaSWBa4nqkZ7YmzGqla8dkXmvnq3azeBukI+KdQrjTPsxVil4S6/TzMJflz6RO
3EtnGuJU+/3T3JrBNyo04dg9pPgrWw4J32oJheUnJRH25NrAe4VxO81fN9SearJx3ZV29tr2k3kS
/tidVGZ/NmExXMIsSW6S2G13CRJOFHhVfBRT662NcDbJZcq85IPcM+ObHUb+me5J5yby2/CjGocq
IpVGYp+f3O5STJgkSkDfC79wfk6S/SkiUMRLwDJoMjE5dYmyXk9lnm9D0/81OpnauC7qZcwgQ4Gw
qMoJ5RGfutAse3PuL5goACIPvMMXZeCnLOwUNiIMME/25usQwUhQllgfAjmUm6rPrIuI4/ZQ2UxV
SNCGvR+RJ8UwKVfDIAdAWy3SMzGpL34z640Er3oCgsUe2yL46sDy3tims0Nv+1BLjlfcURyTIrnz
aTV1KdpbNbYuNh4dHzrz7I2NoGBLUfpPMmpDctdUJW/BlVMQHMI58tC8qTqzuNHlHPxApRc9j4PF
/KRF8TKNdo63N6TCRSkQi3EM6ht/MHrcNqZ939bCVGsjMKiGKp1mwYD66kfrtHcopACraCYBu0rt
2xlidpdqd7yNx7yPVy6SyiVfK3+mxcSuN6NL2bvBkLIJUsvcGGRevM8yLs8GVMBDT+z9GfzV34EV
EWsxpj9qp125Vtvsq8nzXuiQBcsvmOAaIzrLhslGg5XsRyiKZ8ufgtuYn66DaECOYKJJX5SmaUS5
gxldxWw5mw6AFBGfNQfRSunG3CMKJi4iNKd1P6WkOxRSffpz1gbrQBr1wZCNs0N37DMCZ9e5Lz9b
azxRloC4DrWXbXbGrik1KlhRHfwa32tgukATxiaylH2sFOlwi6PJ2PzhrP4H1+Kfurq85dRDGcA5
bSE44hD+UzBnSIGzLluOg6QhQGY1yJLUjwo+N+ZxVKhe8xL9RGFvRatec9jeeFvWTXPrzECLUN2q
P3fzoH/BkLGUxCo/BwwjxZpMGqRqkVCvZZ03u9bTCb4T/KLFtuuAcFfEI2QPyLx5n7Ovd1ss1umj
4r2gcG45FzRb2bTWg3DUFrA+e//XP7rnLIzwH1YXxxJLCjjt1gCaLpfPn078yegck/wmc29JJLdY
nIioF4+GP76jFwRPgsBYSxqubrwG4zcqSKF3PvEpPA1NpVgOI9kg2J7pS2YgCsd9akv2A8zMPzPR
R09xMU5Hr9aHRX9KDTX953bfvPtttytjfDdStScik/11liWfdT2ShTlbxXXs/eZomUG9yae8PwVW
G5/smiKwdZsN9TZrMrHoSoS7NjOzY5NH4RLSJU8o9pDsKfEtrnAmwTs+P/WO8RYjt5urD5tirVsZ
TfVtThbOLtZWsS877b2iSw+PLuvPdcLG8MC/ejt4suQ1tUR8IqBl3mC29VGPu3Kv+2rel64WNwT7
TMcIkaQBit6Fuwhc4HHKjZTsoDlq13xsvQZOj3cZApB9o6W7y7hktygGUEnEnJHbpg2blw4t3CYS
QfVCLilRdblyfrlmQIBxl2XnXhPUR9t1eq5kTismLbfyxeikfQfiZTyKVtuHKAwi7hbfLH/C0o0v
rlG6L9Ir1TUO6+bqZ+wh5lyQL2k58U1Ym83BRuUNtLrphtjfIIDv1jWOi47dxhrvba01uqoiux00
ArYV+oBkD56j+I305B9MdfPY2/gOsZiX+7i07A8aMUNSjBzEomH+HOMbJJVwltAXXTsX7xCx+jIL
u7uZiX7am3E7nhUOwZvCz8TOJ+rhBrdEiy2aPPhdY6XwWFHhx2uzGaobr9LhXWvo6t71NNDraEUT
QSlL/rYj1LZpdL8FGMyuvY7Li4urYxO3agCcFRX6DS+4j5dTJK/R7GjvaLBTNqW6m+z4EQ/GiuCD
Ym9E02VsXWOf+rjBUq6J9cRR1S5nVuRyeqHsrw8isuL7YjaMX/5ywg3LWZc3ASBlg7B3IJNBtbnc
49njYOy/DklOCmfTLydns5yhPsxOvMoTmhk6DDdkmi7n7bScvKBB8R62YTwpDW3Pol9Pr8T2kNOl
J050q6wfBq8uz7Np9e9SYwYvc88j3LGxd8XXxZAud4S33BZWbnVQJcsdggg3MQ6ePatkjUOFK8gM
qhi+wZg6vcms2nuazFLe4Up1ws243GtJE4uO2lIrk3uCoZqTMVTVrl3uyZ78yE36dYMqAK4PXaWS
q4JnWnBPJYiGiM/iDO2K+lCGGf7R2E+Bgb6u9Nls+cWSqUbQnUyGnVXUHgrGll8RIT5MDdMyQMCQ
/ZqXkYLweYaLjGZbpAqeRMbE3GEyPoZBXJNzsGTUhjlpRqHRj+cit6oNnr3xGBLTu+rwi+wrRp8N
VG56TPueopnej50NLn1nrcayh2TIs+wi7TY9Csi0SxoV9re4dJ3briXpTkEBFKumjdudHTfBzxqE
/jrmWn4OeT9ck3ZKno0+7R5DUlNbTKegsV0UG+BojUEVtukkd0hXNaF0SSxuXUP0h8aoswsz3USG
pWOTA8ENJcl8quJTFVbFbQccQO2t9pqPsRleTRb2TYDCeklsBE0vQt/aw1fFT17EDw5eQGmIgQ0C
V6g7PBF5zHpaIcfYUuNrXMlAF3BZo/NYpKV7xQgt1+Q+8nwUSflUlYubgTL7/CgM9FC4VWO8LfHg
p1y8VU8pypi2F/AXfNiDDg4MluYHocn9pygVRsxuzhLMnrxoO61naa5cNyI+MrL4GslZg3xP+cYR
8bvJCZY9O+vGN05BPehDkY7jKfUMVyF2aIJNRTTUfRIZ5ps1+tc56sYnUPhiPZLpj9s1hPafrRb2
zPHd+3iyM/B6gnpnMr9xojVF9xHJIXon4x7TpweIEZRZuOf/8mEmTbjlE8ltVyiXjt+Ahx/VZM5V
bib3Bl5tMIAc3qvE+40vbXKda8KPEVKfvJYECPvkua7KdP5pgjoApy7gHWeiMDaVmZKkkEDtS2Gb
r2VLkcMwtf0FrT7RtpbXb3VCoEWZevPRs7GArbRCP+UzsG8bdoCFEjsFpvOrwG0wjaXYc4FRbh2E
pTp6jfR52zVDuUrr6CFefGOcPAzWVNhjW0g2blYWL9biL3Nqqz8MfV5901Km3zD7NT+zL0eakbaH
oZvfVWC+CDdHo5Om0j1Kp7zYrr5LcU0y9C8B0OPobjOfu4LX6sv/NhDbue6D0jXPTeVUR9/FDmsu
jjk4ErT0RGZsrUZOb4nBc0qYuH0mFbDfVIvvzm4SZ0+WS6rXHh30dD0jkVnpBQUase0RoUyvpFMb
O9ea7JukKZIzzt5oOveL589d3H/Y4TACJosnkOxgxkWRtf6N+jINDot/EI0suNGscXnQg1HsvMVp
iFRXMhov9kMjlC6incWV2Ksh+Z4vTsUQefbJXtyLqQ9yOpKvfNSIys6k+HaUuZEwuEpSAykH68hd
5rbxQTVkQ+vFJ1mF88jiJMQKOHE6jjSm7CHQyfMzc++1YBIECZyn4FIEVHtI+PKdsHrvPa4Taw+t
g+DXNzIAVzLQ9aqZTMxoKk4JKCzbY5q3b0HYX2bP/LUo/aFQQ+t7R//lHcVSXI/VE/Gi9IrbuAQe
7KiZir1OkvlHSgor7Ir/UnSKobrnbp9tlAh6aJZA8LpdTbEY92bvpptkzM0XCsZrSTg6R3HdDA1H
EjhsRF7AfeWFWPe4Sni+c+V3T8AT85Nb9Qh7MxPLOXVwN0QjgkqX/MzXXJU2ScEEZhth5F6EE9n3
vaZtaUOgva/2gRcYj5Kr+iospX852UfYzhulKyLl7Yh4pTvDnZxDk2SMRYa6FD4JnGbtbpo2hyBQ
ebona73mFCGEWZKZuinkj8kt8nQHBdfplUFUyhpW3dpUQ3gDtjvfMhCeO3u4XTzbfvZezg8TJeS2
0yGDVXZKxVV0m2WFIuiyMu89GdZvPF+L4nXq7vTsRec8VtWrOQyoSpIcFGJtcM/uiclAHiJb/ewW
gXgLzUx+c1MXpZ7ZOsfWwJHCTRDfuERfr0mjslZ9mBe4GFuGijQ6dmhrVzjZlpT6Pr5P0sp9mAiL
facXbSbTOSqOzUxoKMHfBLCoTOYHH3sfHHnnja+4k9x1pUq6Qinzig+RIwvaw+mHQfCFjt8Ixkeb
LOa9JFNpv+SI70avTA9OKVlkqehC/xpO2yGB1WWGxA3slDSGrhpBBoLEuHAkI5dynbxHXmtb8TMI
Z7IfyLdHgdMjQXea4BDleUwJewIbTnhdv+Mz2BgKi3k7VF36Wg8TibvdGEVEPRUPkeIQXbWlMe/g
kcj7gIzYkyb4jK6hOmVO2++zsGIgQwCz672UnR9y9CloKKyZ+6o8pZwZw6qdAMplUno2mkhDE33b
ZryBmTI5sGeSv9fwPGTdIC9ed0HBnxi6gvTWkG6WSSXt2nBm77OKlDjEeCzRJxekjXfoVwyUrAdl
o5DpFG4KstRTEOyS00zrGr9dJjdTn4Vn2wrDC0oTnEzxhwSYSTPzGJX8iTg8N0WYrWyydLd9ScZ/
4TvoZLW5zVFwn0D4CG5vggf28oVV1ny3BdZVYowL0svsbrFFesSIGfM2GWXMmoQCbdX4WX6O4fz5
CkLrqJvS+jH3A/GPdqt+xaEeV67GeemLiYghI7QqAkTpn1UqzX7YeZm9KZh3TIWZHT44xgA1zqB9
ZVfpzuT49kdzckGWpNuKl9RwBtiGBE2Ri6LbrnI6HpZUVelVaNe06R9MkeR7zKf1jRKqPbSJXlMX
sDbH1MNl6gTzbvZSa88bJp471rVrZ6Qksg0YC5MC7CMOzBX8klh1aXYubXka28Pk830iO39rcU+k
dew/2GoI9qn20hdCN5xjTSTMjZfQWQcMKY+hTq+RcMHs//UubP+jVVg6Xy0gZoCP6E8snsYuEob4
WPfGNCHVdlL3s4kGVL81lZ3BKmjYf0U+Rk+RqwgpbrIA72ocV8Z9rrPpw8Xj2Wxzh37TKUlnC7Uu
eCWYjkDSjwvZIpFidgzMowvCScQcMbv+CEA4lS65pbJ0KuzQWhq/s/j/FiD/j6H2P7rJ/uv/o/oz
y6Xw3ZYCXcQ/x+SffubfVfRdwZH8/LLDHX/853/84U/+Dsj71m8C2BzvDGJ6hrO/uc087zdbAIpg
P4V4ka4Nm/IXQN4KfiPglbxCwmLppjb9vwHylvwNhoUgJYdIGkbxfy8Ukb/xT/AMfS0Cx78Pc4OD
jTzPvwfkk8xHkJNSH9ia3YNrYc4qiCsmh5xor8Ao9M908f8abhCQ/lqgChnzdjfErji4MyUKNFYp
czu4C5STW1ret67uyNMJFZcQ2vY4z8Zb7+vC9iOW4jAod50fyh+NHZY0ZfNe81dW3UfLKd9eUhP+
YtWMifvqSit+6SrVXmoUE/Qo213CaNKb/tkbZ/+YaAKZVpjGyRRPaWzFm6bJVATD4vpW+pMcnGY7
Kf/sEyj36qK8xVNf2Wj2yVKeV8PkMQy4Ph5RY64oY2kcTERtCVtZeA6i9doFVrDzMWhWhuMbaq2C
qLjLRoc23dSxKg5bI5CXPvQTtR9NTz4jjBjesB3OaOS8pDtWQRo+mR1zEL4h9MGrpHaRHmSNLle9
MSLsB+BM7ro8H14aFtUM1CkhYdmcFXTsdGtN1nCgHkd/lkQfvBsEukOW5G1712WjEW+0ygdsrpZ8
CU2gog6l+BORNOYrrjsC0cnhGjCODZpiDrz8jYgIxZ0WTDpyx+WD52JXZXz2Hs2VLH16zXq7vDHz
hJWeX7P6cPtKHtvYxFg7JKbNh/QDb2WKuNxnZmrd2QWKmnXmTROtM2mEJNbAaxExCu9t16d7crKa
oxOH/mZo9akk/hhHh41FgmaGh35MwLTSaLBWIyP7TYFNghDAftbfo7hOT4AR+sID1XNRUnFh7N0C
yj9aoAhuOToqWwonTPJGgrlxD55RJC8YT7rNTAnpefHGPRgG8Erhj/WdF/gkEhUEQxidFndxgPwv
94l4dkneOPMbhVwy2npXzJn5Xs/zfIopCL2WQqWXKeVBBTX2PrpMjTtTjO0xw/t+INr8CWU9IyGC
njDt4yt1ILDwQVM9M46D1fW+8z0hJfycmA1iCtGUO5e1SHgEJYMvvDHDI330kIX+N3XnsSQ5kl3t
V+ELoA1wCAc2XEQEQovUlZkbWGZlFaRD66fnh2LPWDWNTfvH7F+Qm7aZ6ckSIRzXzz3nO7xNL43X
d9zAuja3fMwg8aMah309JnelMNZdBJWp3NJNTYNCnnHgjy6opa7sqHtuGZl1IWjgLJswfuJ7IC+N
oZwHL7WdfK+3I9kmGmNeG6m7T1abFCmGBnZSsPzB3bM9N1mbxPVS9VLp1R4aoH3VefnQBNuWEiLX
A73gEZ9bKVSLF+hk1pWMAVSTusokN3OyGQHi80+M6eW2hvreQo4Omk+QVhQCdCDCwW0T60uIDPL2
Y2vg2mo70x1u6ejegtG2gWZFX6iY3fCuHKtQbLBDxw+j6wLDGKZI+SYhn7eSWfYax9ZwnPTcvsKz
ImszmP3MrwTPPOs744Hdhdy7c4XDHUJ3/+R6o3julBz2OGGmTy+LFW5FUaBPOon1yec7/hk5PYOe
axtsX3Ikuw+qWa1sXcHvQvyJpLwl1Oj5k84FH/uyMkk8FEm1G8IKdUjZQbRjiZTfojQxn3qFeSuo
bfEIcd88o8UI/pCoAsA1OkNtWGTSWlC3obXr9C68zUNi3APcwAHHhebcRqX6nvAR5l0NTPECFLk9
ZykNy4ExMx6bDqTsJHOvea5mVL56Qoeifl4/OUFp7L1qYN3CKgmbTpo2/KVsendqzTCeaGcisCGd
TPP5/sqrTFt1j3NNf7DEKDDYYhWMjuU8SIKJSudOXk7192Eu5rWuYORLvUwgzdmoYp17TJZ6CEKw
BaRSb+xr9LEixf8yVI2fkv0/Uvwe7Qcvv+pJjYBNEAopg0XRKvJaYz+6hoKBTqzU5ovrN7qKdzX/
WGFHzx+b3pxQdZmpjdi79UkcXjDfu99T04svQxikW4NaomNVt/0pdJTYS24an+mM7MW+blwzzba7
SNnyRBCF91CEzjnw8HFmXdKtOYvyUz5NXGcKuxt8qdSn0WSFD0OtxtiRO9+0qNo6bvcNZmu546sP
mx8GflSJaIN/sv+yivhHAk/AdxptWi/i9bovNDaSALtijZSh3dlsWoz4JjRLbuzA0e6pvJF7AP75
IdSCox7WNoKPM+pgQLXpdUmdkB6hQuMeKC7JwDDUSr+2xGbOsydw/+OWbZrLWoNcEtHpQ1a2VBfV
8Wei9UN2FNaCWiq9jvBduNi+9W6mWZlipwfcUsll7LVy66Zle62FOLFSfe/Gcm/lsPzyZgZyMzbd
WhEsvrqFOONgpgGigDVLOKD2IphOXkFXAIlmWr/g76+aciZYMNoLOj7S+Y8doZxdZSZHmjXIPQeE
EafNDPwEMdRtcaPHxVDu+zr7UFOmjmhE3ZsJuAU1P5riSzK1/S6PDIxquUlOqGqzejdXA3yZGrLW
WvZjd1JRiP4iFDZCtlrmau408wcxoz72ecTbqW+VbcQwo1GvXBIrW9LIDc+BWDQFtisuNc16zpi8
86LpbtJpB+inUUOjQMaKgp44nOwsxDJTXGA43vhrOZAs7Cl5Mhu9MteB1w6UhnAvegmC6Mvj485N
nXK5ob3Y7Ja3aVMlVFsF1UOMUL0im6dMuG/oS7m5gE8TdAt4dLChcOT5oczQJ83aG7DDz9WaoqVp
bXr1cIHQZH82Ig3eQ35jRD44GYtNY6WUxurILOvnQvZUbsAUzhpJjVetujuKMMOX1FblTs2D/RNN
JXsdeqvcCgxdtJ9klINBUQ/r/ZBDel0RCgYFVOZo6dxc8jueAcMO/lZ/dW0KiwQD2Us8y5R7lDYe
K+GGG7Oq9AN2SzrbSiSauUeYWbsidg9RzWtle+38XUAw3LtkVzemPVOmpOiU2igDpTZib9Gmz5ND
BWhro5nZkFJKCIGisTdSB7TpYjYlf6M6vxvqHya0O6YTPoopqqHQIW1zEG9Uy5LAYlNL7v5eMytK
nggYHtJysvHSBMWHzXm2bgiPr+1G1bEPS3dbEgbkCYNAn9Sue09wYXElUjWqyoZbNwjQFZ17Ylui
UWz64FcmWlzDvjsRu/hpsGuD289jCmYY0/5XR2e3NdvQrASj1tVLC2ubh0PFrpa6KW0uaAQaeKpA
Ku6f2qBunyerywjVjCwLjfGqh7SDSK8huBihlwX9iIQBrsxPA3KqpA89SJX2GK1Nc3zjh/ozaPz5
s8YJ6weJnmytKMzPepma33i9aS2wnC6H5F/GuL7QH3w7BEHJ9Tw6ykBKPNU8y4Ou1Im/kawQtsxY
Cc3BvW4Q4VR6np77CF/xCouYfcc3lJ5AFhvUj5u6uoc6YP+YdQCh3O3zGy4344p52AEgmdk/PHzS
F6fz2EEMUfxo1sDjbN2hDyOp8vhNM1R74dhkQzunw6ap5Pdw8TdKqOvIgUl3bbG9vlkWPLE8ydkO
gGZE+ZvMpLyUU6WY/OmFAcgeNs0qssuJ04PW4XAe822Gl2nP5dk5aLacHgISqPMmhX9exBJGECGN
ozmCSR7Yrt9GFb0Wjgzu9KBM35AcWLdJ0ElkCncUZKT+FCYVVlTHIB0AhXSKDKL7MuFJVwahTyjF
8AFSmJvOc5CCFMqczlWGl9mFrNpx4DE/Fq8RaafFd5kejZAdoV1jfnGNFjbqHAKXXDUAWO4x+Whr
1TmdL8p5/B5M8F6dmOde4Ap+56npWenzHB8lSmEhq2en7cNvLvw+goTs5ToGoroOD3OY7pTXlgdD
ZR9jX/R3PFEBY4LnKza63TWrVNeIC5H24JrFxq0cvsc4EfENluqY1ARw+qTvDyZclKOEL+KTNaQw
QqXBfiC+4i1Mo7LKkoPMvoZe975CXOGHhFoNlxFWX+lDVn+ftGg6ZVStNaxaspR1YqHtAoU+BUe2
2MLy4+WzBuum2S58uSit78BR5+vIKcpPnQ/MFRdOf0gEWmssErni6sM4UXnavpUTNiEP3+kYxtNj
EBDHh8WdfaSGN/NXKTGT5nP0ncuYOPT4BTagUa0VjtfqWdPm4SHtZ6hDVW4ab7Twae/sMbttFesl
ge7JSyEtZDQn4TDn0tO6xl2NwRkoOuKdy+Zj3ZPd37rlBEkdScaZucn18bpseL9s6aWvUz6STVeD
syu0fCBd2V1MLVo71bL1JhXodA6moNj9ifMUydA7jzlm3KBs12Ofs/iPBayNQT9S56b7Sqof1TDu
aUZ8cpe9lmP0MfgxMBBplk/7xpXhdrLq6tCbRXtI+VtiZS/6j7k3at+jv+ZFs4UHK78IvmvMTPgm
OmgnfW17O94ey/eAyl7MOSvPTmupN2y7HbMRQLFCZ6TtTE3jKQjT3TcyEet7jwYl0EqGNp6rPOeI
r2Ll7QQhixUOHqiRLJTcbVAn7nedADCLj8bGvIqq/k6JmoOFAwPIS8mI5NO67l3bYc5ecVFDXfoV
khHm+OHkkeLZkebGXYbTjLMsn+9DTeuPADPGe61phmZFdo/SKpoi/CBl0TWjVDx4yqs/oFHFO6ce
yteS5xtHPBkjOeGCcdKhvrit0Nm/t9Qkdi1GJjDtxX1rt/TsdUUP8WoOe9q9HfgeTW+xiLQLh7gx
ieRVOgn3LWvMaicb8TOmb/MIUDlgGTnF5p0bEsAbMjN+WbYK61pvumiDgthdRkluuQ6E2CL1qdfO
TplcwQve5XzdKRLKimtQkyaHZjBnbKbnaUPZOG5HfGrNXUptzY3hmjwRvXzTvk4ER03FQ/SB6H/t
IbLb2YFooLtLjbl+TEpm2BUjnNqTNrU2HrcY6sCNcI3No3l2IFBji6fshuKD8MVK3HgX1AGmb2/G
cDbkjlixa5iPtJSVx4rCiFdCe/2TxxR6v5iht+WcmC9KjPHRo1qA5vSOZ1EwzFd7ZvNEmF0PIbIk
xiVveowcBphjO8nsg172Y0XV1YxeXiSO/dFbGkgwjx3zB8mvtEI8YM1lkbVEa0k86oskdqHKh6TS
nbQZ5o1ZuNx2qwBlf5JpeeE5Xr7RLQFwWhLZnrHGXVK3ZfHkiuJmupb77MhUHllnjCuj6+3NoAl1
tauJEStpG2JlMon7V0OyObL1JLoF1ih2dWOAVxND6rzNVEkyNOhQDMFen7SU2g4VE29d0Q9X+bIK
krukIaGpTe4HnhFOMEjJM6LVltQBv0jiGWsByr8HRejgxJ8wSGhpQ8wK7cFgfbg3WrykZOXUs5np
1bFIm67387l1PjWL+8VI8VdIEhCTKXjKSrVoVmVAJUZI06asGG81Z3yMgyS7xBZyri2QyO3Rojjt
l6D5/1vZ/Vs39vIb/W+zWusGHPzFd/z3yu7mQ33k//aRf/0bade/qLv//OE/3dYCnVag3gKbcxau
L+rpn25r/Q9XmhSFE2vD9wYz7J/irtD/4N9AvgZqRlO26/Fn+dNtzb8ySfOj0iLswgYBr/IPsNqf
NkP86v8JWvtvbIfeYrf/3XpnoxBj7gAcQszPpUrnr9puifAwWLlh+ci6PzvpXGVt70rHe0qYfbiJ
QJSaJF1lWvBEOPq+nJ03WYe7znuPYPByXw9PQTS/pJ2zo7Fja1Dol5znpD62VN+MMvPDoL9Eg/5S
CWKUbcg5Ye+Sud7rS61y4FtZeTLqRSvYOgM/W+VnGn33ZB8PqWPeO7V9tR1zh5353gqMq8Vw7oSf
Yxhtp9Lz3ax6dLXycR4DP4Cvb0XFOgUHk7Wfc/Y4haCNFBCM0dlKi+tS6ZIeVWejtK65Nb6UNMSU
bX4Hu83nwb3LaMpFhdhMIniaJ+56bmA98S3e10Nyo+GSwE3kqVVj1/s54MqBnHnfhnJvlqAZidi8
t7X3hEfpFdPWyObF2pmBc2A37zMqfCcEtalKdbaAzf72yftv3sT/Gv2yfr2JS/yLcKTBp2ZZKv2W
1ZxULZBgIQfCq9qAI1gxH5y5ZdzsabrJWmMcjtI1Dxdf6+x1zzvzP/8BLNB2f/0UYYLFKK07toOT
1bSXCOdvfwAGMOY3EQe+RlU3l4szxNItG3liypNNji8S4C1TZ9cF811SzS99Hptn27A1aK2cSHL1
YyIUv52d2ln39MFuJXYnPyhmbK/1HkQHQy9g44PeEnTGor4mI642OwKqZIZqAwFryHws2ajqGXJJ
Edj7wDNPFf3sKzBBZG8a8X0itY3nY77v9BhDfWxwIzW+mZU4BSCN3aQ75QAdjgVo4dO/fkb+7QH4
+/n373/7//pfeEyanuA0+fsjkhHjo/79aPzPH/hz5+X+QS+pbWN71oGOA8L4x7HowkFHcyBGwuqL
68TyYfpz5yXkH7bgc+YZREMc8ZeKEOsPfmIJoSw2K3AI3r9yLLoOa7y/fKIF/WQmuWfLJlXBL7mc
m799oqveyeivVCYmG8N6SkJr3nQTwGzuWc2mT8Zu11fqLaKHZkWWy32LkQfpt7cxqbb8w9rlbO8u
UWGl35Ioiq90xzoXw8tlcMAVGtE0LOqIUq3acYhbDEhrrGqQH9OI1lfMUvkhZU7ekUmcv6HoFNgQ
Zfstwg+CSw376s2RMBp0dxGjULLWFk3TW66qoHDqXjx0DRqD1eTFcTIarjV0DdGSwEm+MUC1fNOc
WVinsm2SU5J5YNiBMuZPaUwo4wBhWzvpCb8REkYC9wbd2yEsq4LncZGzla3ZJ8cr+vcqLlvMTpqb
xutKTvELjbH6M5Le4G07M+TXNrHlsK5OOIHCbBZfXhhk2cqJVHGsmzHc2r2TXmeR1NYqgXl61lUi
IapQDswWQSoAUY5Z32s0f3kr1cXTvRfTM9wrmWMhYCQEOduhOoreVt0tbKfup5HF2gPMN7DeGePn
R2nY0PtYbPSIl+SHyDGk3DwqmB7lNpAwHNdh1Kf3jNfTwRlsAPUTcNtVXqUxMxme4LKTxdm0waAn
hhHOG8UBiMmVBhfR2TXUHfMnwzomPScCvIZJyKr3iZaiTxUs3N312Oq8u1HnCdg8rorfmyhJD5OV
S39qdbys0pCPdqHLLeuF+mtqM9YtSRN0u05LzO8lTIg3o+2do1YmiPaY4e4ddxLPPLbrS2rTBbWG
4Cg1DF56ovl4VJD6UyAlaPHM07+a2PesWL1bXeWlX3GBCllzWuqI5i3PAGiGo922+j1zujxBGBp8
A1/AO1ST7EnldvtoQTQc9gVC3308aygTrqD9Z5XYo3cFbRzdSkdH9pLM2Be7djnZKykOurGQQKhP
BtnQzOCaQBCS7UT/Y7jVvASLZTdwMfD68RwMzaPS5+Adt0161FLLYspQzkliqNqHoha8TIXhXWv8
CqiQMncRG/oKTy6VUQgPqYdHZOUUjZy36K5o+W4zm9B0m5CeFqcRfjz19QNudAqFp8TXh1jbEG59
hyAabAKnUJsKa9tLZdUjBiP6T8gJb2UXLFxwi12qxbrW9rYoKKjvtfUtwFqnOtFsi0LWzmqW0ZkI
w/CVqeo764HqCoX8kXACt/kmWAcQNRfGPlJZgxndGm6qCjeSzM7awCu7MoWzLQATqVtgKz71jpSM
LAPrunxTQVMljzyy6SioZyC/SvMYaph9rDF7DTqoCG6EEbj/uVVnl0HTX4qbn3PPyi+aHiGMG2ax
y6y26+5J03Ixpd6tdmE+a8SOQNe5711CQgH0XKv1fFzD6DuXWF3fcJrAiCr0uQX9MI9RtDM7XpyV
tDOAd7k78IfkhzDbFhBiAr4JQ6edBxum0npwZfoVmzncECPRMNYnNh+LdmSdaFs70O66D/7JOBi4
GZlIdH2nQot7eTgHwbPkpV13bQ8WiPrcrRt6QGfSaEAr1zOGOsrpuy11hvMFeVh/dJN6fneNCuaB
iOueJnpRHEwZpHeBcIMtxtj4ZxkPqFpc1AR36VaftgM9yz7GWcxLs4A7mpt99wY+QSdB62C1w8Uf
U/MXV4BP0hAVr5HiUjMCrczUi9mghfWrBVuBj8MExj7AHqHKosV7k/ePTD71K2jS9ChVRbsOUpXc
NR1LMF7/5g4vAghUs7S6z3DMM98U3n4O7ZOBA+Dc6mn2WouwOYXhCNs31R67sk8PSe6mDxPQp5vT
6DMbo1Tt3Dw37xiZS6wEqu+nO6wE8YYVT//seSbSILAODJSjBImXltpVb7gan0w+TbehrDNomJzw
67TzjKM1ZG9kzds3GmzSlyruigsvc3oPUtN6h2FK1VVV62OJXtAHtzDqpnPU0/bD1mxuNgmme5/Q
pgcL0BWXSM1oVsOCpbe87pTBc11Hc29X8HvnU631sM3YseqP85BmZO7U/BjMLTXl0HjTbyxjTdg8
Y3tTkWUeZaZmZ9WRCl03TkKELI26g9F3vEkYAuLHjJ6gbbf83jJGcWnzWGxDlU57YZRUHA4R/T24
G0qmcMHiJM9o682MEWcImQ3tLBsEk5UVZjuY3Nj062prJNSjE+cZHiKvWTyEWljs8NqkB5CM4S6w
onINszz7BrNnfm6x75xnU+d8N2QljqUVYCLLI9M4hLr51UwU2unGkH6y+6lSfy6S8nk0eqAgFqNH
Di2gluexdJMLOb+JnRlnqx2pD6TomI9xmlwTSoBu3DJo9EaLx7mmBi99HzhPId1GuqmhSOfFPT4i
oz0MVTw/FWR/SbkWqjvqTe28NMTCn8fE+KrpZ553cUC3pwwz88ZuIfwhOy5mubOEGCYxmqupsaBq
sR4cfYct10tSy+FJctR8gKiLOXRFj/YKICm3UErs8llSvv4jM9E6Ye9kG0wLVFKq1niLEoxPiFOV
eWsrIMIjh+gYkmSh5DE5zqzeX70g/PTCBo6BQwLU9RJfiR7zjQYSoTIegdEipSUF2/wquNqANriV
Vjjh4eAe8gSb9mNa8yXZd15sn2D6Oo9QO3EAN53YJWioB8yvDB02GcBPChGvxQQqD5t3fRDocLsK
85IgR6Ylmyxm05DbYrina7hh3qPtHqO7Rz4+GJ7RSjNcSxg5IM7Ud1hax+e0nFkvpZ69yK4YYhtQ
u6i52pM7Sp/SQ1rqdeHeD42trvVANpMFRfLNmFjM9qzifMin5VcOmG03pE3uh4xb+5Fagle8j9Nt
6Yz9IsY8boeG/f9qcJzpsbbIEZP0YDARzZ7a6OgcFd20TfuoYpsA/G40CuenZHG1LgP7VuJ9PymN
x30uKuOTOsyeEhbSGgHCcrNkJ3stPmUqCC0mSbi6AU6h8zwlIawJBZd+cmoOEkpWP1VfC3/QGvcE
U7PdkaSN75yJOcog97WVLdjhOZEltiFP2+WY2tmBgsCumvFLOXNzF5fo967ZwkUsG6BWbMLdNk5X
kk3fGY9Eigg9nBk6403i5dYt60W2D0qO9YLL7bY0qcuT8Xlqo0/Pmr5Kw7vJMGy2qmiXmo0wlg+4
ZUtzXZW6sY0q7cSZqDocWkn0pCrO1VUxjWSP9KFLGCO8Cq4U292tObXagws4TH8bytmVx54o+I6Y
iMd7X2TWT4asotvZsOxeeEiR+xpa4wdrybA6zgSHqsUi6331nWsY2xm99r2x+oEkoy03Fr2YF73R
LqmRAOLpILQCsYigTzbpualjj2kOZBjLzCSe8NQZ5JKG2jafstQI96pBtqTePtgMbXIy7dK5ciK0
dGWgYzih6OslWxa/lvzEWShtatbMmfO1bl12jqVeybeMyfqxqEV95vtqd8xe7bStq6m/T7UqHoBu
OoCsNaMlKuUAJvchlOoQYFKDbgkjzx5nvIGVX5L9eMMzps5mA49jvcRYrmbBhJKmFZ5lhlXFWjB0
ijuMxLazblQTOIglA2VzKUHa2Q/pPWFBEZTRN0z7xqkusWmvIp2Kj1AyYlhdcyjAhl57pK9s0zbq
InpH3rtIKWQjJM0ya/AiCotabHyGZedeHC+Vb11kdAfX9TTQZ06cFmsVRmm0DtixjGsrc01vk0P+
2+CWMSoSEYP71ADhpAQxrSd/dKVEUmY9YVX2zkvp7mDbVKcbLUKkxdpV7zi1PojUYWERHW5b+GC7
zC1JBMX4R0R4x2r1Z2X04T7IC+0ATKhBhUKtKCMQYvF1LjBa9E6pNhlh8Ud9qDX2gzUKuw1nPsXA
s86sdKctVwyAT5jbyaVQNpQXzIb8SY6Onf/EI02JeqhhSGJtxxvBDsPhkROTM9t4RQRzbMjWQxQ+
tRHuQiMLn7VlQ8Z1cNjWSXvjdk7D8uBeTNFUJMK0PVTscctl5FMLzHNKIRELSUB0HqY7qYfvZPpP
Ia40hP8aOhni4GYeKpTqImoPMsVmv4B+sG0H8yaIlbkx875dp+yvN3GPhcJhD8bqo96qTGz0bPyA
wbhh/bFvvSraFFZ+mzuZ3hFXL3wn0ucL3z1rR3zT2/DoMVbDMNVw/oBE4DtvwoegpC/Twq61Dqu+
8yu964gNxATXtDI3t9QZwV4kn9bvRsMO7qfANnAKZBCcSbp38FYk7IKzM9EusO4yXl+3hqyPTZKF
q2n1e0uTwUtniO61SXKKlyKMqdzEWqxUYzPJkhhL39+DbVSR74Sl95JZavxozTA4NQ5Oij2gpxUD
jf0aDmUX+q1meyCyZi44R9004genDMFuIu7O+3LUMc2nnv4tJKf5CKa7JD1SoxLvtDRrjhJEDjOo
S1Bel335ja33oznxUdRb96ltU/vEAYMWRrZ+P2bVB80+pIBgB/kY+Ui6N55fGnr/Q0xdRCYCIsI1
7Ex3zx0L312kl9nb5LrOehTTwl2ug/6db1aMilnGgDwVNWvO6OzGiUc1YYfuICIvPCazGPdYc0mm
u5Hh+bGoUW9DznxOIX14Ce00eysyjyJKp+1y1pSNfHYZXCz8fCobVyBl08O/rq39PzjL/1ZY+4v8
9n/Lf85cyaXyf5Lgntv2o/5II/YUvwtxOND/8bP/dKDrFjIV/ysimv5Lc/tzSYHkRlWhYEnx17oT
0/jDYkMhPNfCBuo5S4nuP1YU7h/8C2CHrDfAy7jS/le0OJCB/0WLM9ADDdAyOuKy61n64k//TYuL
gml5vDliFya2goKeYbte6zbWAS+Q9gfQBHFvEBxeVWWqk5Mh3Ecif3LE1rSI+A+2HM5eY8brtNch
uCckuKLyuZvzTd7TMSIlyZrIYePATrX/xH/ZHvQkxkaVtKEWr705N8Gju/Z80CZi4msXCtlDkBnm
Nm8rbmJ8wGmKAM+YgDEv2OS70Spx6AnX02EPSK3+EdY9DC2ZgqTyVOyRDTbcq96ieIVo0Au7Jd5o
ssNdzMrct1oV+02buAhoBtyKaK7XFbfoXQSR+SthKwoHt5r0LbMCxYJTpz/KOY5vaemwhGa1tVGY
WeTKYot+1IyY0xcH0VbMksugCRo+XsEP+8ioOozoPiTVptzKUisEQtoKideD4bQ7xlYeVxunKoHl
ulb5qausulqpfrZm57319MtcMOanVrZnWXLue4Lh9nQfEUNGOOzuyIxdSFYxRFgSVjyPu9kJ8c+7
yQh2geh7tg41hXXHZZraRCmsktaWcM8KLpj6hoqDe1EkpzodMZ+5ytoEaFHgxwoMdJGaWMS0Xq33
uKFF8aGZ2nSZ6hoFCcYyHFm3vGM13BXrGaD/UwbA+lgnU7MfHU2/IGVk+Og4ujeT29JySPwihbww
yn2P72ifhV3/3LPmAG7JmQZpfO6blYkVTJeudihEpX1vzDZYd+gJLqVxoiE8NMhvQ+aIE12aA+dh
ZFJ0xSsCG1bFX7Ez1L7Op5JeuYLGu4L2xR1Z9/y9t4Vzk4XL1srQk8+6LN4Y3uSb581yJ1WePqjU
6u94AjkvUMbwGOGkPOdxJc9J1oWbynAiAoqIaAXIv17H7VRXprb39CHdMdWLe0nnCcDpWBV4JlI+
0XbagKcLuqubR+klGxGKAWeLkTylMs4Tdxxw20YiXyiLi8S68YbogIljeoQ2PR7U0Bh3wliieaFd
9h+m7Q5HtjvWmkbkZNenc/s+qGA4B7nX7OkxMZ9I7qPPuUMx3Ewtqd8zBxzEOk3mplr3o2ZXV4/p
nOfDoKhxA03VoCamGs0aAxHlYHBLUoLpuMtnjd+G1qLhrncc9WLByMDVQL/ouqLTMvIbiDyQmXC9
gB+G22c2sH9kIthMxbp747gwwHLGIr4mke2t3NnK7oZ2bs+94+l33MrdcSWkPT0CWkMTSdsGsa0y
ClwrtIbp7YSeJoyE0rEaB3M8ygVrY0huGgGK73ow4CXwm+bJTcxmfgkWFgR5qs5vgzHHwmtkG4PO
kL38hY9oF5IETqvghm5XnqOFM0F0caTFYKFPuL9AFN7CpBAJnkNZTM7ZiCBWYAyHXcEa4IyeMyC3
ZOrdLrMFchEUvbkW03P5C4FhLzQMo1Zg7BZCBo2UHs15Vf1o5+W4iReSRrwwNWRs8N2aFtJGEGbD
PSUH4z2ru2FhL8DkKAFObzhSaThp99rC7ZBFHzE0Bnh/FqpHiwnhznA8dRfb0n6pIEq+6AsHZDDL
ECTIWNAnvnBC5NSJG5da+8UIKsKsRjkkJ5Ky7CBaCT1p4Y1gwjJ/col3N4UxlC9ovsZGAwv6Ei+s
kvQXtgRK+OybxuRsk4VqIha+ib6QTvqFeYKQC/5EayChANAIttEvPIqJ0YIbRm6eQxUTS104Ku5C
VDFQEOEMJMYhqTvvNV/IK1UjuofKq4M7/mtwKBdCS7ywWogrRNtW5NVVOE13ZVOUfyLK9lvLEOqd
PhLv3XOJHWK9I+QyatyjFzJMmjitzxWa4KyroY/XC0PG+IWTsbM0OlJo2B3L3oIttXBnoHWou3Jh
0SRAaUQ9umsHTA1ey8Vo1IJfKN7LXygbyLsPYQU6eKHcgDsNn6qFfJM38Iycmqh1W7NbWsmO+7/v
TLMin0PZT4RjehhwqJhOuG4xC59LqbXreYlpoRIBnXTpJA90ke/tJHaZNW0Es1fUzqPdxdrFKPq9
Cl2W4vjuRyD/e45q31hIlyoBuYFvsPbbmuU+SGPUt7pulygL27vsmJpto694T0h/JV0OJjIi7Zu2
SXaIumT5u2CJ9OtRAZOo63cdQxdAAeyNa3cwR6Zs3R4e68US1VnwS0Q12Fu2df2DqYFy9Dvo6/vR
KCdfMeQiH40eMaIHNJF2lamuuSMiXX6WnZmyJqYQpHIndRxLXp6cz/wTTbuYxsfSukQN/Sd45MqN
0eTTyRjErjXpu3X6cWb7LLJXYwy+Uh5aCCgf0Sib/aDwPLg5hsQC5peFv8omOuQZRMJGSzMfGgAl
Rysp9Edr6pH2EZ7GWyTByK6Ea3cm0h9eeFqUjS0bLwgtQtd+jkHtHAkz1C98P8AguWR6TDzSPGa6
4ku1qt+7opTHFpPoRx3ZODei/C7gCr/KEF/9sFfBI2+A4jUVSygord0PV1DkYjVVRKPkiPqVAU4P
m9HYlfpc3AFe188NRel4w3UA6lFY6mtd6/uSxQQYB+G03EM9bC0/lWZietc0j7r31EIMMVmJxKE7
xL7h5o61g1saHXILJimlJOBJo5HrVj6OnQ7LKXeyHf7b4oH5Is4vGY4+4hMqixZN3lxHBx3flbsR
VZUMN28c6yNpqux+AZH/UJw40yqynIFMPrGcxnTiZ1Op/yDvvHYjR9Jt/SrnBTgImqC5TZ/KVMq7
uiFUpSp6MoKefPr9UTN7o1rT0419c4CDc1PoapSUlsHfrPWtdJtS7q79DEML8th8N1pIp/i7Zx8K
djc7O7XQHFaJwDIk2F6iTT/gK7G2AJvUfTMMNwRQrEqEazxgc6yrsdp0xIKtfIFfuqW0WDNSjdY1
g7GPIRnHX4OyPhqY6d9IL3h3VY+lXTpRdRMYkcsUv2sPM+PpdVnZw9mzFze0Ev1pZoVAvgWiUa+J
yZHLuT01orOvbO0/shcuTg2CMyxxhr8JcaKDE4K4jR8i2shclruYrekJMfRw0yJJ24cwyh/arGA4
J0137Vile+2CMPrwkb/vuEYjzBOzzcfQFY+4fYGN2pipRBGP+2bu2x1DHHPtxrn7EHlRfcbcxpww
teZ0I50WGIjV0wZOhreojtvoWLNZ+G6mPbYDAt1uCUbv2K1VIO04olZVk8pLR9DT2shDkmw0ZGEc
hV3CdqgMVnGCx3w7Y4bZEottVJjNB28bhyLepS1+UKqrAYEIjhKMKHUP3WN0DsXomg9hG8TbWgkc
ioYVHljRZftsGkzSPCIwkVZjw3/vh2OSh9WtN+QAAjo23jWaHCN5lUndHvSQqXtB7tNmtJLoxknA
iBGQ6xDu6+Vcf+AiGIe41tYhruQqMQv/4IUtfgMgsb/8MmP01Mj8qc/KYu+2+Fs1kobDnDnyGOjJ
2S1WNeBgiiCDLAy41ZCZu+yU7E0iyvGMk/ZOimZHnSrOCBxTpEz1i8G+ETlWfOkn463sB6aEUSWf
WFm4+Btrghcqmhbles1aWWK8UjJut3VYQp4dHeCUHebGNWtEtJx8MbARFm0+3EOGcB+JcgcfwJaO
VzB6qzpswqvfOss/USERNvE3fdoXFZDh+2QiC4KZYNmSWmtLZmjgZa9g/SQ7S6bVJi0H4wkC+PjI
pDR4Beqobqx4jk7M4PVbmAzp1ukp8Feok6M9Oyb1ONoY+oUkgIVYtGRT1IFxC3TNirloE+ZfYJoK
sQ6chYsRWskrAjzDoKgpyTmy2nKvem+Jv8vIhEmMH4wncacYBJCQa9scClYjnW7Mo9EquQ11YL5a
XeedCOVqwQAEFbwWn4s2k/LiAGja5dKu5abQ/nysY8/7RqUe7SXrEODTw3vVy9uu7R4cKpTVRIgz
vDZr2gCmm+76bkn5zuYzhHTY55mf4783iZOhK41jd5cTicSxHdXyw2o1LCMD4O+4ngqKwm1vmNUL
O3QGaSrx0afWsdufMWxMx1hT7QL4tdy7qmr6mwZw8EKnN8PrCaTDT4na6QNSTL9RDLi2IJwtMpwz
hFO418CAurbYVlPvnlgQGweJmWjTpHOlwYF1yQwXQIw/+2Z8beJZ78pOJjunLvKdHHW+6yN6J1fJ
BXs0J9fhIAmr0EXdAhWRBPUincb+Ys7JzZyV3KHj0roi7Nq9xeyKQMNG333PhR6ArhmHo1U5/XFe
NtakVze/VNxSChbDMMLvW4gEHfUCEVMaANfax/p4xqiV3vSfJXf+WX5bSyXOXZiinNhOcppabe0E
vTwJhUMc39hLJW9/FvX+Ut+bn5W+AILN+UD9Pxh+S+QuPQEepGBhoyWXji0EXBJ2VjdNSkSgQpxC
mgwNBpxGeg2XyozDaGlB7M9upFsak2JpUcCz0a2ES+My1MhUCnfABRVPAfFLnTa28LkATX+2PP5n
+2N6dakOrfbGNToJEymPJCDAwVDJqJovLumAJEhK03tXJUvCgPA5Apr69tZB6Laf/KmZOcTot5BT
PyimiZvcUPcGuc4HZfCG2Shp7ouOkPEqoVJmWzAaq4pSGEdHqU84e+KVU4ct29a0I2AP8TrJBXwO
6zgS5uIgkmsWOPZt4A/es+YzmFZiaRkJYRvX+N7pI7O0zmCJtEwKaDJRl6Tr4bPzdD+70GBpSJXJ
KkcvTWq3tKud6UZntkRntbSyydLUsmTxzjzJpdGl5a2X5peYkf7WXRpif2mNpRH5b6Wj38aGEba7
NNDd0krPS1NdLu21/9lpk68wHeKl/Q6WRnz67MnzpT0vlka9X1p2oi68l3Fp4xmt0tHXS3PPvsz4
MS8Nf8ohXYRsYtpeQ6fsPicD2TIk6JZxgVwGB1bbBZu/PlGdr+Jc04EA4pBszPjNWcRtfxx8Nezw
aRK0sZ9a3wGqmxxbK2QgOxnB1rKo063AlrfCaQ1zZS4OEZl0JGtbnvnW+DHBrXXlRR8Tq/IrsvQm
oKxmc+szzXulMKiebV+dOzLrt50guYbiabiHXkawVWGojM80tXFXeeRtiZamk+gX/MAbNzK8q8Zn
37xtJ54VawWm/syEy3dYlQDMitaFajYvB1n2eaaln+fb/HnWOZ/nHoIrXDLLYfjXb5j5VbX3z0kh
xbS1jLk8+UUIGxBeNCFuILN15T3Mr/arfjde9f1wae7IdilvjPzy14/oLB/B7/ppHtEUDkQndvUc
ld6XRxwYsBQksoW4ZvzwO+i2BJOHk06XbExma00lrU71pGGVERkefzflTHgiWthfsymXTfuUhDsU
WBOfJavIcTuHGHbWFmk6Yk/coPHStMp9dGEqgukpCcVkwYLtc9tmU30YdaXPdrFsiMp5PFLJcD4x
Tlm5ng88Yfb3PeUnw4YCsLFj6t20yAJZvc/fIBmGx2YI8yMyKn/fwgt9KpKhPsMWyO7ioo9OVt4R
vNNTED/EgTu/O0OS4o0eRuK8xqR+JrFrOb8KK3/5fFP/f7YUoOByGVv/Z7Hs43uR5P/n8v7xBzPB
v37sX0N6lP/wYcCvB9Jfxu5M3P81pHf/gcPACly+gb4MbAbu/y2ZNe1/ICIJhBDM6JGGL0LWf43p
/X8ITzLAJ0ecS4U+x/3fjOm/XgiIz/Ep8AcdqFg0vX88qxg5+h0rIxhLkbpFvd2TfqO/FY5Nk0Q6
H+O7K6cZ50PXwB357Z36k8qT3IAvV6EvUAVLcPa2z66CF/rHBx8NJqeDh8XPzI35wA0MSHAbT5+e
6hWbyxbgdwrYr+njfadEcm4rU/wopyDaBmoEHBG3TjPgdZrHS0/kIwPfUZ7KmvCvmpgaEAJBiVa3
Ca5tEFCbrkZEcQjdOZrIulB0Zsq76wMhs2tVUC9q1320YxtBUmTxCz0OAeYJg3njVGa+eDKb6ygp
WC4uljBY5vMud21FanLe2BfPmY1HE04e9MzCnu/qKbJg/DbGI+3JuAaaEtwMNjM1z7Odayqwcp8Y
xvSUJtrZai+kfErHGaqO2+0tJCynAPvfXtJsHWdkPfZ6rA2UF2jejOzgIFgCeKvdBq9R0g1Hg3EF
wvnQ0GrvAIzYR0mAisUIwV5X8eR/wxOR2uvMUta9HZgRmqxPUWRr8K419nSY+rQ5Yx43DkOm4+Ku
sKP+ZxFOgnt1QzgYpXw5cS6W/GgA3/d1iNjWA5wbiofSbl4ojOS2Dxl8BFZ78kvnFBCod4jSGnRk
jS0t1cY3lzvWteickQqnwz6Wd6h9Vtyx6Ibd1B5ptotxvHRKI9uugRcz1y32OT79PfZ0wIGp9qtz
yV3kGOdjcbD7eHiM7IpEPoR8G9rYedc0vgH4jY+7MTPxjr5HkAeCC3wdeMW4z4zgppg0myXAo7sM
jzx+zmxfMT0GlYPoDFtW42PjatJtwJUjCVLqGK7jfVZrwJn0yOkQqp0ycj5+wu13QaecY0QE4IoM
vWDXM9nasEZtXtzI9F+Yh4trlSq+0ygFfVPbK6hxTO6iBAYJZcS1PWE/6d1lu1N07QZQUbO1BTRY
WQSk/EY6Hld8gs0jAN6c7FvEyw9+1GAz6yUkJfi2wYLDzSptdqRRJsO31O9s7ih4lFhOdKKkB2v6
hKsFilO2c2ZA1Ct7sJx+V0B+ZJvg2d9LshhorBdMhZe2+R680vQw2KH3c0bI++ANTcDWsrGYNsed
8S1NrPGcdIXzaGcsJoH+jtq7OHEWwCrEp0xgWy/DYTEW6T2GgKWcFElENkCmo+pIIvrwXU0jRUuP
1OycMm80v/no6PYzxT2bcJPFfzC76fdmrJn1F9zCdNTlj01iyUNZ6SMqO3nAQPhrbg322PU47JgQ
27+iylMfCcXlYYpkcq1Rmh/nus0It1fQlyJt9xfEz+okZKK4qEezfaLAD36koR0eF6nxxkAoi0J5
GOJ11BTykAmd6g2e5eaacgjoml3WL3ZIWGfeDeZFVLN8p1OjIh6QrGLZMrdDOZT3JYLJB0Qk5nsR
ze6tyTgJmHHIWzj6zVOYAlvK+0ac2zEqXuNU6ucqte0nj2XqMW4Qnyg1teGGKQv7PVQTw141TU6t
TsJgg5IxMesfNDtldIrtOkJ7DznGebKAyw4Um234Ws/hPkynGHEYtrWDM4EN2ZoxzIWDNRgzsdVJ
Om0rF00FcM9pFci58BGF1sj/I6HLCFrmhBgI3Tf7QNAW73zTkDSXQD04kLwgITsg4TQGPgxyP86q
kDxsNUzlxrY7Brqe9gJi9xjTzjaOhp12UEfBkrL8Y6h98xuehOC2q+f+yBwmfGlsqw43C/LEWGYO
iUEiUs9l0ycGY1oXHiXVbDCcokkOz11KeuUxRCcXbnSazXcm83OYMnbcb8MoGd/LdFQXRM2krLOi
CejGp7dpMEr4Q8iV92WfGw8lIXg/NRiZYzNXpK55FhIVFCol68F+IsAHoVz5ypd/jrbF3INIQIAc
YIkDlJjSuLDOBf/dM8gsCFRqUD9rxrvOoMy3UfWEcLdxxkQ4XiSXLkLiN0zkDWLDTDkvhaPEKyMD
hG3YaH+wv2bN68xkMrRzvUMx3dwg1Q4+Gnsm+FOPQbq3ZSsAKLhzOK+JvKj2UzT2cs0/S8jN1HNF
GJJnP4bT6LIihiderCqn1YcprXkCaIIzxLfxPKBVM9OW5IssLZB2NRmhTjMzeYb78wSmscom9CYh
pDhYjq4NawbUGqCugn7NWFnLfQeUXfXMrSdkGZumHuCdsVdPWdLOp6xOgx0fGUzV1G93DivCs1Yh
NzzCt2HXaK+9AmWwbC9jm91FURXlrQ5B1EiHy0EZtBlmNslb+D4xISiFZ9+kfe9eTDLiURFZIMVI
ieU0neNTEehhH2cdsCgi8eAtwyMlljdQdnxvEFjjbgbSLY0VwhuxXOgGRUKLIDIC4viR4sFjYDkl
jBIwqzS/6ol148y8r2LPPBq7BuAkWRJVG78WTu9sWI21d2Rv7u3WHW/JAAju0RtHz2Yr0eNYDITD
WnTFioTSkC6aVPbYC+pzE0fxTeOB4eHtNJynvNI98HdGrHGW1BiLRTThaY5dMa99YcN3cCTu9jk+
YzjZ5nXPDZmB194RFZRXtruP/ZgOlx5qJMGFQLYuVmXgr09y++KMJvqzwTNAbOEPgTbSggWB2joX
BYn00NM6I2bJVs14mQN3lwiyryhgfzi9gaXarW+yKRKrYkIW5aSKx+MH3V0fFiwqqqHaz5kL1AB8
yM5R9oCJD4n7LeD8IF25jWkXmwxcEbZ0V1WES/v+K3e5YbH3kaO9pl2ufhV9PF+mRhHrwHSP1Fwr
RS3a2biEVgM8ugjdUgGazsocsUqarv7ZTbPf7h0/aX8g06inXdH2PXEbaBEPXm8xjGVyiB7Yz0ml
Twtvkhyt5EOsApOV9pGRsOJXRzPVWlZ0hMY4kz41UzsDT8idxqfkk9wPVZd0L61srJdBi3wLIR2S
9VKqkISNuaZYCcQ4yTbVwv0BWtC7Y+wyPJsIBlgY9Ul2FSGbIrjAovra1o2onhB8NqzX8La0vKVB
cKthK10yUffEJntY1OAmHiC8pTd25PqvY5PVYj2aXQ4Cz3dHdQyJSs540jAZVz0HuFpHAeyGFYag
+meQWQlhRowYmeUN6fSAM08yDGpGi337lAp5EGNFd2iQFILavKrOcVqoX6TN8TBRagKo43NxOFeb
uM7XputwiCX9IJtzTazBcFMWDgNp5mhduYbLT56LExkTTgIxMmpPI5NPXU0zb1CKvyLfZBTEcien
2HroayD2V13oRWKb9pbVXwWuBnIFvJeiA73ZVdd7uU/ZI0YqYDeE78pKAIo9uACqNct/hFdmvZAg
575wUaf9lenU9qkw43FROhP01nNUPE0q7MvTSF6SXokE5i48oUDaGz8JakpWNaoTlC3j3Uc3O27A
DaDj8ARlFCGbZZOsLTqHftcKlxRsPpOgviLeKXyB3Zg+11PeJ+c5bl3/KNshOuZVjY6l1sZPYabh
VbaIvVeCu8pxGgeO4grZ+qs9OCKmSzDaFz5tdc0sNc3XQDXbo+QwP5BVZ7FDgp8XyLA9E0ueo+4I
4RyteOmgLWGYrEfXGS+ql3m88eIobFagxomGVoGWj62wsLv+TT9mfsmOdegyAwGcFJu69JmMfBFs
IYBpuzxxWmB0Ij9WbfQdNfiDNtWrHRQPliy5sWKl3lBkfmvSfr77635wmbn8PpNZHt4Vwneo7giI
EV9mMlnYWCRXGstqBBom6E485X2S/9PU+x+t858d7deHQXxKxyl4HBl8aToZtvbWMDvdto9aesK+
UxEpv7bhH5yYyG3m+gpFtBWU8QdmEGPJc1qmhzg/BtbGkzxO2EfOyIJb4ha9gITXxFm7jrAuyEKm
V8taXCaZiw+z477Y3tqArcLd/91Ry/+r6kkvQB1jMwv5zxOZfZeinWx/103+z0/9cyDjOf9wvN+x
vfy+fw5kXP8fJoAGPD8mEk0YDXwF/9vD7PzDI6T1X9OYhen7PwMZ0A6oLBcPv2OR78oY838zkPl6
FQjGID6XIdMfk4mv9yU2GTt+7zY5PpRWxuyaZgyuLzHi8b+ZgC5Lvd+vAqobdxm3uoHnWryuLw/T
YNtJh6h0ty5+3G+9MPwdhUcEDrbN+n1UqH7/26fwJ9Mec0Fgf31Ed4EiM9QiqXkBH/8uBw0gsOJO
CN2tZ46oAFWBmmVNKYJYhAYU7ptbJA8+BPdDGzIGHURgrDQ/9a2cbHMvdJBeNW5sX5m6t7bW3KVX
wZQP17RW89kcM3X9N893Oe2+Pl8+cpzkMhDev42ISRZhNz1i983CqoCNNWVrlvj8mVHE0qSE2Bwj
z4Vo5VcfNXbLj270h2cgY+Dzu8r5FdGyPZUkT1xF41z9+uunZ/3798RfTuoll5PhouXzffz97fQC
LVSK13zbwcW4TmYzI+aCIdDGa4b4NGEerAA7UYLlrY2k1RDRgW3juOU5+weUHN6LNUE9nsb4ZJrq
KGLjboxMSpwQPwymXN1nb8SgMosOHWxTlVV97yITGtmk1f1fv5Z/m8YvX0afuZdv2Ta4x2VC+vtr
8ZN5QFVry63qckpeWfu0NCOgNOx18dVQJx0UZ4jZW6Nqhg9wTkBp86KE7lUWrUQcGhh3RI+0b67T
w9IyTRqEzJCvI9amppHXXo2YtvQgRnq5Ed2Udtcf24rWoo7SNyU19+pQvgaytS8tWXtlOd3gVekP
ipCIY1bndB5Fqc8O6YdoKeKBUREze+RpgF9XeD+8bcdOBcPSYF+jb4g/fBfjDIwiW52kq/G7gpWN
VrFtkYJSCLBBqWUE7aaax/T1r9/Lzwv3y9eWVaF0gCnYpo0s/I/vpfLwU8hmkluTiIKbSmTlrkoH
cfYtf49i/JeRDuMNHQ+tSMEKtDgA+Rt+IaOuyeDS7bWOBkKQLW15x4EIpQ0CQYr3svRMFvW2uq3i
iokeDu3xFKli+ggYgeB0DatTkI/GKyvC6AxuhvSGXCV0HxSKZz/r0l3bueJvvjicrP92jXJlLrcE
5uqSS+HLi/UFOoHlIgD+1F8iNoNEL1iGc1Qc67fG5AY7bZoW5NWciaz2o5OtpMB0RszhwZwd/wlA
wPQTj5/48defw5+cr77D95oFAsp8f9ki/P6VzqOp6HM5SNy1llzbdfUr7qejw1J5443932g4/uRt
oGpiJ8C6wEc79aWkqbg/DP7Uyi1gQe9VYHlcruL05q9f0p8ciH94lC9XKVTtxG3QUaDkTJKfomqq
M/Q5hm9OS07NXz/W17UE79yylQiWO6oP6ejL28dXks6TxfW2lLZ1so1i/phd7Z6p/8W9NYKiX7FV
w9RuC1HeEh1Tb/76CfzJWxqAdwo8GMqSZPavb6kxwBmIgeDkrdc/m4MGJRDO3t/cha3l1/x+tVJn
UzhI6XOEwy759FD85pGwOHIXcLu77WV9r9C9rgsx7aGY3Y0EIAfJzVjaa3scPsaBZMw4N25mM8ey
P1fM6exh2gRdB5sgdqBL4BrfexF2NzneN5aCwDbFEJISWCOCIahycA2tkOXUqDP0T4yif4MT+vr9
AGcESJZ7JQnAnGRLxMLvX/nZmdFSu6TM0jGATe8Qn7oTtLPZrf4udvPf3ja2XsuNz1xoMqb0v3w9
4jm0co+mdoupBB73hI/YEzO46LrMdzYQjgNv9d/t9SkFv17VrsDO4lEucbKyhPv6cQ04JK3CHMIt
zcAjWP9qa0c+oT7hOLzaumKubo7NvRElxzoa3rygZBw6TNY7ZGBz1Yr4RO3Dbt73ViCmbhvFAJrD
TRMeqvZ5W7LMD5O30Greqt7cJ0jyVrjXWdAUIbONvIXhMIxH5sEoW7xG3AbugLG/YNqVkE6E+io3
SHnFYVKbobz2q3Dc0OeflWXkO29ElxaEzL9sVdx1GpZNqSMwhOIe+t6aQ/+YOf7Dgue7md13R80f
JYOzm3IuJO5qGb2SwdPdGBoVPbJvJIFzSjSxRpZaN166zxO3ZGoESvRtwsS8GZEoxOtgbHqyZIJ6
78R08KgMbOdtTCx/F4jiUan+tvb3jM2xNkcmwQ6y3sqwYGlnRMU3T0riHNpc1jsJS2pbJoHCNieZ
SU51cXGY+t6aoxtiFU51ixrc4Z5bd9bPxkboV2Bj2yVmZOJyzIAPB2YfbufB9YpNyF3qG87tYZs0
JWjedFqr3H3ARFdtCDyDmF92HYz4WcM9re3YuQvjXsMpwHaK7iqoRiKby3lvkWCG/6VDYDqNhNpO
VvBrGjBlDt2j7rufKdXlc2KB+LFnssICv38pQFU1xdjsGkAZ1yHa7medpvZdn9WSmbOqYGWy1Gdw
NRMbY+u7Ipifx6jzrxFfOIdW1TVQmgiMZ+aPqBOMtr+pWXvuzTmXt23vFx+YyZubrvYFuM44+uX3
bbBn4N0cBKnydw3+oddSq/yFRNk9rIiq3SUpiXlVVShGm3mHKhF7ukRnA/KWPn96yqO5vbPDqXsi
hT5Ya6OeHo2YmChVGdnFUDo6zKwn7zMKrQtC8JjwLwsvkC48HtlVl3A2um02gEPvgB28kzVUH1k7
yItVK72J+fQOc1q0d3GXf697b/qeLq9wYOm4x+N4K8Dpz9UjbjPgXzjsGdhfh2QY7EElD0dCJqsf
YWjGjxXgu5VGqUoB7psbsA3mlYHhYNMylt/MAUBOzDbyztNDfMl0NW+Emsx1NdWIQ0Uz7ozema4K
VRc3pfR/xlq+lUKEUJ/MSsEptpLxBW9khX9/MBCBMGcmE43JJSq7o08I0Kqro5daNS8qwKu+aqVZ
Iy4x2+fIz9wDo+piH9hTtWUYbsEoGJiyFQgTa9LlDmmt8l1NgtdWsitZm8Itn526NK4TntUGlgH/
OCvvOWHHA8DQ4Wi2trvlX0V7C6dc2PQ/bUnsWEUqWpMGxCICM4aWn8T8AyOKH4ji87c9qPhdZvuY
ahqVbc3K8B/sbvrekJR5n9eDeyPRyq64BucN1Mn+mBfydlbCvuvigs8EJzXxKM2AGN4kkiwgJHQX
BwP7KXL+RgQwZyK4yA1F0U1O5xIAFc7xU0uwCP9PzSchNC+w0s16kpyODPzhyLsaZ5wZp+8NNNsz
G5/hksxhficnIp1baRRbQwH4i7G8SSd5Yz/d7CJm/RvHQLnUCigzPVF9o1Gkl8UnspqM0frBQJSw
QF+nGx3EYpNkkb61jIJg1ZDWjtC8wnm2Qw0qHehVvUV4tTG97MZoRXcfhdgGyJXp7AYES/oYZlnJ
K1bZHatZIlunxPoQ85jfqz6l0vcZKO3TxvLQoM1luhlr96a2XGdTqng+6NF+MEPQ4qVjrbou7NEA
dJiiFKmztfW97PUpNuUGMzkDNwcNftk7+0HhnKwN8VBlsJ3jsb8uJeF0QwfMayUhMby2c0FgnR5K
OPK0Z/0qZkQPX2fCnqHmGjVsS2JdYW8ZKkeXbmbK3VookeLBRuLkVSjiDV0T2pgEpYFbvHR2buAk
mM3DK8qOal8xYj1VttHf4kbULArKEmhFpa6k21T3jqvvWG5NGP8C4z1x6up9rkW2N0MPpBicLzzN
DinyYW2/8qyJgcB2B1CN9VIw+vM+dlX8HphGeqV9IL6ey52zxtfMdaGCQ5903RrOAO1gPrHLj6ri
qGzJtHaS7LNrtuo5du1dqzm806S+q81fWcwcgVS0qXn0W69cN2asbi105PdulPknyDnTySNk7ASX
YAJh2YYv5RxMr0DxF1FDbt6Pkdb7UjrcC2Mr3Tt4X74tuqu1wnCx67XvvapIiGMSA5tK7YjbbQy9
h9HzZszs6JbJTouSvqvOAzvKU9s38hzanUQe34tHC9zWHRk89hH/gX92gohdY5BG133h81+kxFy0
l36oQqePgNugwsIJOfAV3equ+U5sZ7wrc+rFlVcvp0sQx2aGqYC6f/bc6dg49hYjzZXqbqSAc9W4
5c2Q4wuP1Oi3OLZc7HSdDx9au9V9OyfyQya6ePWsEhG24TxPoSOBFQtuf5q8Bjn0AIlx2aV7pHQk
RTlucdVm2uUMc+qdw9AUVXwKrwxy1oMhe5Y1IxKFnhWwjAns9tROTBBpclNXm9kp+OKHLVmzmxF3
yZF8IEgwvnjxnda79fn5VTcaxl0ZpPn1nOgPt8FjK7IaNwnkq/KhrLuLgUfAa5xfpV9f4RiObmUW
uJtx6rMNyUMp3Gze58hL5Frb07BiHHXdRIpRb7imUAt3NdRyxYBg+hRno8gxg+4GXUP0RIvpmjA7
0OKB4GJ96jU9Me12ED57tWfeF0Urrq12UFekLY3X4zg2Hw0YK7YyOo4fh5InYwhH/rRHEfzwycG9
ypIk3ZKzKa5NEjs3tVvWRB5S9JEFvYg0ORemdytovHPRN5MB4KvCPRV45T3p6CUS8bT/iW7P7VYp
EuATWeH9vqmUrVaemZhPwPH0OkVygd9Ocr/uGf9UqJVDsWcB7XCr7HT46Ciz48PPYfM1QxHtJ20D
vG9C7UJNjwnNShorf66IPX+F6ZVHeFLhLbDAjMNwm3Z2DAmmSoNLFmf9zsqMYWPTDCFJCQ35hpqC
eZ4K8zfX6rx9IFE0gd9Lq9UwFMF1kGvFkxdgcahnUnvbK0MvpmtjvhlZb1Ey1Y26UVNMPlif3rPk
+u546Qu6EpYsZPRe1VEYHbpufu0II103M95Q5PGwRVmjbK1iIcYttxuBqpTqtp71MiIaN2Xh6o3K
/e5s2TVMmbCLd57NvqYwPFQNpC2OR7RDuxD8RVrkAfS5hnQakBZwYqcyPRljop7LcT514cfsePf+
YD3Wfv9u6viId+AbVtzX2HIwtmCGvtO98A+NKL21IwqPrYWftZu8SooNFkhCyat5Di6FwFQNjW4+
FLlBop+XY4ZIfVleB7JuH4wmQ6NS+VAdCePtLlmZgPZpCHl7H4cSdRpPoWNLLqM7QpUfwrGwD8A4
yrdxRq26qgdhHxgtDT+JsWgfcAvqPfB2iCVKeYfSmCJ/JbntEZrrQycpTGK0HZfQiNJWe65knwTS
uoLZkg6HXpgwYyqiTmuz87d4L3DmR8GVXWbqzs0YuCyyZU30V6KO6KawjNYJNx3f722Ng0yqtVvN
9KwiaSfyS93kFz+z7LGLWW30ZLjcWN06dtYzm/mrDG/5lvq/ufFgUOCjZ9S6ra2gOPdOjCo2cStv
BwvI26eBIGwocSqb6CDL2JVN4D8YI27rlcfQ8AnxQvVGwy5OjCiqfY0kk4u7CwhnN8B2hWhEiBLu
g6L8aBk67ka7Fe9cwxaSniE8ZJ0/3xq96LZIW3LK4K4GSAeb5FrEdogGbkQjn5OwcVNTfGxlnEFm
MfMKPq6fbBLbMU84K5/yXlxZRVN9nwnHJqpexw+s1quHWdq4IVQ73QHZJw+kCNw7jCbiG8j34L7L
LOva8kS44ldGP5aj8FsRVfFDNxTk7FLkQt5JSRxQqRE8eXPbPnoZ2JtN1yY/OFjyS9wP49MgCJDc
JF5W7UzdlN/Q4mheQ5wdYpbZZ5I1oos5R/qur8fqCqaZfVRR116wSrGyN6zoJVFdCH4KUYACInYa
CNI7FRRsL0WQ2DMe0yDfU/OgGNG9Y0BnG4OD7r2+XaYMyQ2Twf45c5gMjmAXrqqgbwIQj0Nzh83X
Y5wy19OhpF47EfPh/hxMjaZsTsvkzuareqf9dCrjlTEQSy49+uM4p5s8ZDVD2dViKtjp1C8PEPXT
l6Yp6jedOgKWvGBxsKr0LKDQREP61Jky2Fj+ZG4dvOn40ouCxoZ4XHHWcR9fDFeUW5PYwANpMKgh
bFPRBsb1LbfJlAwe/G1cJRpRE/6MZ8MsyycjMXLANL7caDWTsEuG9CXzxjsv9D2+/H3WHRQvwQB7
gNmMvzruenDAYm+zyfeQqcJ7H+itfHn/X9SdyW7dzJplXyUfoJhgMMggOcxD8vTqG0ueELIts++b
IPn0tc7FHVTeRKGQQE5q8uOHIcmWREZ8zd5rGymYLheyQWTHiByCDpLamxgFA1N8L3D2k6z7Xbbx
Es1sKx/EjExlZ1DwkC1gzF9OGuefNYpMgrmEM85BU6PyfpZpOh7KTlLsGts6dZfGHjgZkvWZb5QR
etvjG9EmdFwu9fWwuKo6FtIw5XsVx8Pf2cpLWmsmhzWBU9UNDDAhtLr4K4Y6LEfCXcNyLXodUkkb
xoPpqNG7YOUmkHZxnI+pQpIJh0s+l5v0j5mRQR2q5mYEWqm6HKYDqFIvos/E9tjpjqNg2yYMCkXm
p/uqXtpwbAgZcFzsddE69GR6M96Djq8yh0WVR4A6Es0OVBNq17tC+sNbNjsoCw3wjrpz6dMMb/m7
tT5aCXpvfd6wg/5yRHtDKpZckQQ/cPybepZXWNvbDwtx69+UOdCduTnGH7717nOK9eDsPCI8zlyF
HAP8bhDhrFPl9feOl6z3Q0Nq4c6bNqxUzmxemYYlnOdzVepwlmUGuKdpHzKUxfeN6eQ/aS1pF13d
eb9ybDZM1zm4f3TC80GMS33Jx9QDuYSIAM2jVi1ptljYSvwGH6yUeK/mMqPRy5qXeo69K/FzSbE3
PPmrtBhA6SElt8dmecI888Ba/lwUxBlvANGoZzYjec5Wt3xdJvgd0gSS3aaeeIBAC/Qb2zwCItCz
w37FaXtaq86KWiPrsbxjW/4hczUfc66vdwzAt3gZL1XkB2sxnPstL74ayqVI62Y88qomYAAn8QhV
3VBQBkc0dItlkLgwLsQKBcuyxoha3ZRbcpm3O7C8NAZ0w78sp/NOTFfxLszL9yDm734w3kxagF2Z
Z+IkBQBkr5H23tYcoRiFpve+TZKz57f+NYcg9z27VZLtIJus90y2uBkqCuub0NAlHsQWjEF78uYw
hxvfYDFQNrFb+ztYjh5+3/4KWKykfPnPpMqnTqSsmw14mzNae8U6E7eUXO1dK0A02LcAp2aNacG3
d6fv5xugXf8ivZ58JuTK48MSu49zOjp3I2eww7cVhwC7BiY6hZwuMyq9U6/tkaCZ9dPkq5Bhbjh2
SGNSYEldF3LgE28J+xU46sQcLjn41Y2r6+kHlHPyY+BbP3tcwwRMgYdmx9VETJfkO7dTYOMO3HZ5
vDr3hiCykloG3VNZeGEntru0rrqLDxgQd1vX/lkxL0YgmDEgt/S6xoJMWXYaD1Vco2TD0Ml7YAiC
Qilpkx1YPUvvUMU52K2s5aD6zTg05gA4sofhu0smq70fLKPem3bvnojaRkbGSSdeWmxxvxll5H6I
IhBxKeb50yaG5yru00dhMRdEwwzrQE3yLo6nYMx5Dle1gjPwPGJS+I3jIQR+zdIVD9tuSv1LM/sf
2pDue7opBYahJ1ze2wSj2WrBuzkl5wlV2Z03Tyok5bL7mIXKL0i4q4DioI2sZdZInTpSx3xf3y0Y
hhHEmsYa+ZgA6IHor57cla4Y6eB86VG7/k76jQu4JD9MOqzRkJDXb5VyitckmTZSSRP3nX19Q0uU
xQRb2VMnIy8xm6BUuZChXY/eu2fga5Rtab2Ma+3Tz2bgzuxbxNMG7aeV0gt63ecBRnUo3nbNo+Lb
S5UdNLXkgWsaBmLmmvgAwXikoZ8CK1BYQX9yjEKqVYSt+oT3akr7eAMwyxba28iHIcRgP2Tu9DwK
zzyWlPcNp6mHXGq6eakR/2rjKSvX/L6DxH/2OuzoadOXodaOui523WENEATedzdbOd7Su2UoVdjH
efuYLc3jUKFdhquwq3vrZ9aoL78EsIlZfckIGQaaoVJYb2FNVgC2pTs1QfvHQ2A+t40D+7GW3rla
NbknQ/Fapz4wo3JO/3aEdLy4vW2/TqiLT5Bit8jo5pcYfz2HtNLP8CzN41Q6xf3CTVpPVQ1OJp+e
EXolL6jmqsMw9mpvVUyZGejKO13bQCFVO+4xXpPwqTnzvd68mElpHJa4Os1l7x4mKHFhno5/R7qV
PyvoREJSl2BaUYktDokyM5uvImurk2k1ZdRBwD64KYABwpHGhidcJtEmt/QVgPN+Yx8rwXifBLuu
yFyH3/ZQbZdEExvjTSM44h6pY4soczzWzJ/g5ZnTviHbq9u1o+VFlvPQYfcg6qho56B3hmmfw7ZL
dyOr5TYyu/Li9ahFWiPy8/oewfT0WfkE2XlGcpiMRZwQ9PLRXqnIUeiDZlBXa4MJ09LfofSyL32X
PjD7JRAXVkqT5k+N4Zi/UhR4HE20w5auFsb583phAPZW+LDhWtMNWDwAAAB9TpZeewIXdUnq3KaX
WMo/uDGBd8n+57YlV0HWCgzrrGmSnbAS4EytZ3EdGM6+dWiBNic7udY6tLvG76p2N9Zssig93Itj
LAVmJBpkRagJ0GqnjjxR5QwpaScc4S8/SS9WUEMLO5SNommHSoILewhNwBUzgFjnFxJj+0V1ST3h
37VI5yM7SO3tNR+P5bpC9KarSM+OgXLrAC/U+exnQlK+Yv6A17NvFX2vL16l7WKr0aiXCZCao4L3
tg3opaONNFtEz37LKKOHeE9IWfzStRJ27OQ3/gF72OkmSkw8UMOdAzMB3BGoxCM2o+wrJsUvoPPl
keoz0eSvRrblrBwRs/tfSRZzEAtHugjFQeJfFAAjH2CaAjHv+3nx5CcYxbAJeagM14n9CAva/Fo6
UNK2YlkC3VnMRPE77qaE+1Ah876dp8gxieHInnM9Fy/TaHPacm7UB5lvzDSJP0JKqjLlfpKgOX2t
jYU1FD8LABp/qsgMpW4e6OuwPS7lfgMEjct7FfDUHK572FVMI7JkplsEHWo8eUb/waC4j3JL96ww
R/eMOYwZPiBHOIkQubfyXplEeaJDeID0cRqq9is1kXyz53pwuN+ThnRComuGfDRebKER39tJnTw5
FCR3PHHpZ4xTg4642+khMa/uCjnZWaYwWa32WM5dxnZpxeuaE5dW+T/nZH52uuXDhhsLYoY8kTDf
ZHda8HglZFweYPU39z56yUD1POhkRa0Yua2byEZMz9zdNTdkwZQsL9sqog2gUx0Ne0l25TZX3xvq
zaC35UCWHCQV5IQ7CBn0TPZMECo6lhhC06Bf/KYe35IJqfWSSYbUJWStHAGDWRZ3gzTiSCyuCMG+
MaQYmjj+oF+ozAhVWhe6hdxOcyPHn5nIhyro1bpcthHhekBmak7hm7EW7kYu3WpKOPLSABM9aObE
P66mmEKTVsfi/KkwGZS189JhWKHQYn6amcCIAT5/DokhDuvMiXvznt9ljUOoZ7xsH6tL11YFrLKY
bAC7yB5UD3lGC/mUELaV7IdRrj9x7hXHier4zvZH9bF2G/zRjrUeJdGGZDZfffNuKQ2yUF0QJ2TW
ugZwuyGJHySjod/0pnQhWx7fZ3NSM6jg58dP0khdEcWOAOcR91k49D00ESvQlSD42zfYFwxz8VZh
f+inVu+dSr+PxJXyE0zeWCAfWuHBjGOXFE1bPwTmClw2dHqHGXduIMdmpci5kr2NjVuiGGnpTGYe
tF2pzP5vvWX3befeSKYr8L4+rDUZw4TScWUzyA82L2MCn7ZRask5HFDaTDvbapO9v1ZYAxrUMCqE
MvvLmiynRdTY6mNF//lh1j6zVWV3Jye3uj8QY010UBYPiM76ONtVnT+/lI7Aud+JsTgWIBQYrm3u
1U296s1aFPBR0jVmPzBtci+wyHe7uVbJU4pNYHTB/A1zm53ZnLBygE1xXHqfVJ7enG489Upvz9uS
1UeEZ3oIrdSzjhDDIXHXzcQ6Adn1BwmM2W+cUCKoEde8KPTXzImXNrs4m80R5rjz4wg+ZTdbMY1c
YxkXbEotLVPX2Kfemu06UCT+3WvqmPO8xsnICg2IP3lHyzpg+mx42dE426Ee+ZEHhjW9FwOB2KBK
vChTc3/Qnsgp66yTcnEi7HTqHByAQyQJqtG6o4ODpQIvBn5G121P4LqHPDO+G7CxQG6IOyhuFa/e
rOwZvV5zL/0ZB0tV5o/5tqkjr5J8BD67vdup5RLOizOCSJeafs8B+LQNePaLBkpxnnNu1VZxRedk
U5bN1M5xpy+cuEtAMIi3nzilD0oW7P2b/rYZ62Lxo2TccIYDgpy78FOINVI9TxB8oU03zm8BzCbe
MdXj8ijyhUBSouB2qTbyoEwnHTJDkqEJPXnXIjH/6MkMfBE8n09pK3iUEjkyd9iaZwepFpBYSyEz
l8D+OWQZUM32yQSqzTSlWLPQK5zqJava4jANavzRxZx1jSlZ6OsaZdtuNXO+48qY0jkoawiWbeKO
BI036W8bHe2nQybAA9nLIIL5xwQWQsUdLjYH2qY/B/haFD+pEhpaLddLanhcOUkz89vRTed9GRpg
jrd+J7Mr73BIP/JAMa1nmhRU5Zg/poaopnDKMRSFAHaq5d7fWF1DG9bDdGg4PNMg7Yf5yGPdUT5K
RqYa8sqJWLTkze3MgbxnM5vNsPFL3CcGP1kkA5t/rWcBgcit+t9WoneSmXvsyvGhM6r1VJuLG8Ax
nPsAwh3ymRRSwFPCsOiFpyv7UdSt+NCWhDjtDkmUGE6yj5t4e8Dpj6mT/BEWqOvM2hk05Aeqy/Gt
2CwGU15FvEy+iVuesgXJEsjZt59AySICsIgw668vnd+11xpaNtgVWUbK7YdzvZAEDDxttli/iH90
ydgDJOgPI6f7spKyPDtrcsPh+NAuuENgWJbeuh/sebtn0DKeyGQ1vookUe9yoNDG+1YdByPFsKbc
9LBkebYXo4pKa5n+GH5nnTJtxQKnkVZlkIrsCn57eeSJLCmp7f6zUXP+W/qEIfRpsr24+OZAktPv
tJjr2puCIWRqjHs6578FU5LXFdj8hKuj9qC8zuPwIpZqgDbSdM696dWgCFeBR8YxoC6SvJoduyxl
g74V5uMqiSqnh6jE0RdpGbXYa9FBgW91/dx9jWdp3adtQyEC5vDcl5bmfebVa5OBJaa3lW9pXyEh
IcydLWhzZzTGm1sb3xJp52vVGt1zM9nx3miw2lDVNnNgZ9m7afTzwzol7itU1vkZQDUgpPxJM2rd
W3Y+fRSNGh4dIZcPIwbolCNEucgm84LJjacPjpUPVZTybjVu9cEN0SgLG8xoOZgHOCbVYwJEnyT1
ufgzA67fd9oyg76aYS6xKjjHCKyO9IYZzqLWGlPyNIFUle7QHfBTb59V0vWEy6w4BytpUI8NrWns
SurkS545SVhDVDp2WNDCQZHVkrRks3T2TRpRk240y6Q9Va1i7qPGQy9dGIY6bghuEuLD8cuGs5Z/
Fci5rBJPDFuzy7wRXsDMNuerklfftGZxwpErH1sXpmblY0g20tq7QJ9AFFv/1cxr1MKdUcJzP1BG
+z2hz3DmML6aQQys+9gppsbKSz6hnvxBpfQNZccDiOjus1jsFxeJWkd2yKHtmu9CFc2O0FkSCqCw
VTdMfrHaIciLa9InV+027wsped6yueFSshgyxGqyN04jXtlgEnY4Z644lXP7sg7iiGIocM05xRpZ
l4ED62ZHVBZVoF5YZHkT454K1mFiGcfN7M6ltI9Tvl7tjun3iofmmVGXfRy8hazuMUGP3G4ZzeQ0
5T/ddu33hpvkdxCHixfyl9SrU9MxNlvGKLxqxOF/bQ3BufAdY6ygY/JlpKl9RwtsQhZLigOupOHt
H3rG/2k4x/9PJG3nlsn5fzeC/Ef9J+2//u2x//rzPaT/px8E9waf+U86B74OEBTs3Zx/5Nn9JzoH
0YgAqlEzehhGHMSA/zSDCP/foft4LoIjlyIR9eE/2RzC+ndlEfLp8+WwV/z30uz+ix/r9lcI9I0+
8ng0jv+qIcYGYsyCzJB9PyV6eEknz3vdXMjUodP46sGm4BtCEGMAvnD57W1zzNmvJM7/QwprWe6/
Anr4ZyBd8F3pIPlHYvwvbhHTmVVmrL4VNWIY3gsPH1qs/Pg0J5XFYCYj9loRp4XmCL7pErSktnuo
QpDkLc6RP8r2BmNKbMUpwNu0JQiBcHH4D4rYoyqJgSGNa3zarAFvtu9P9ymqJUb4eBwjuzOsp3To
2fth/AWUWvWBwUiGgO2kRNDQEzqPNHyNaszFQWpOuLRg4Fn7kfiFKKcrvyiEJ5jbLWa1OR9PmiSu
/1Mfq+WLUG8iq3L7vsrAWuEfZje+0bR8mY5Z3sE8jfvd2JUTnZnZ4TEcg4z+6hcAwu2PQLJHkrLp
H8im4f4qNFkpZYEvnKV81uwS3fwaXW84QZTtH1J7FGezEVaoUlDYKG3Gx0TJmKGgtUZmLs8ly6gl
MxiGTip5W3Exd7vcJhqE+GX1IYhnCRplWm+pZsA9tQUx7bWMmVNLi51WYuz5EJOtTqzCRqf9cUCf
fk0MqU9A0AklXst9vSak2NvddCE6BakeApOopUCI3KmzSAHiCNqvLqr1eLRXMNFqfHXwmRBjfjOW
gKJ4KWvtfLCgiaOeDU0ke9M8tjjU+da6R/h0bHyUoe8IcspfJ70YP7Tu5n3u9PGRdbm56xsri7oG
IJrc+vlPV+UsmKuifrIrj0jRWBnTnQZBe84SaYcCGPyw0Dem3RE468XrQO4li4Ed2XQf2OjD6zAL
li8b2aBWVVtoYBGouwShHQriYeBhqDa0U+LoVGqEdbxh4smraODmLqdMYUAHx+BOQx3qqs8Aithp
2I4EwbVFMX6wlB45jBnnbUkyMkw3jF/u1oHNnOv1vnLQnPma5ynjsdrbIHKiVg7V7f/Un6RHdqmX
NgEAaFi362he7xJb30zvjXgyFykep2peHszW2Lji5yXUxEEwCa8fstvaCRrIdmjRcz+VpaMOZWlv
T/YY51G3wQKvCJcMZrVlj1TxTEUYqUXSyhDMM/VGOoL/10lJq+shzgUzhPxjo9v2vQSRwW+TlrAG
XhwB3/0rCR+JhPar19hmS+muvUvFzVef0k4d58Xfrgt+oRPAG+9Q14kVSQg8LIsrF7W64fu4aEzy
EgnuDntCbY49UJmoSFZzObgwoIn583pnP0lnJrFDKd61oVA3MLQr8e+s1TGnijivKT3PJBf1kA3w
dmeWF2Y93C/tth38ubnJmW2U8di8Q3tW4i7x0gefQybCGvKA5Z7WSKNSMGt2LEJmv+m20r9VslBz
oqwOhL/F11Vo82FzZfeRcOof5VSqcz/P7V3NQua01bPDve2qB7pHM+gmJ35Oalt+Wa2XnVWO02jU
0/S7t8vumZPZoxpr+p9WR0stAIcGPmkZadCiXAMlYyeqOHk2aco8/BQ97jStB2djBRymSV6t1Gvd
tI/TgskEMoYWZZypa7A31A0ToT1hCmJ4j0gKlm7jwUoggi4NRN27Y2h1pmQVPc1yZESoFaVN/C6x
Jz2Aymu2wHL8hj1Feou3hC83Op+V8KYnw2rwclvm0L8PrLCDggnNgxr7iqQahRhZpuRR9c56wGdc
n/VapZ+tIGsh8BJKTYIl4TDD9SQuinw6ZgFMXuU1bQvn7Np2bEey9b9X6rQE+03dRRom2dkrB+fD
zvybwLepbOyFksmn56pDTRW5AUP0278ZaICWhJ9+/OsOAIngr48fFdKsY6uahzo1fnSLHlCxmAJD
v2LmVmfVxiJGYCTE5AP+2tzsz9ItFAVWmjQfdtWXJz9f+QtMDSVEU5bD5ERUZcW6DMHP4n8au7h8
FKlGaw8kwF5OKl9n/0q2pCi+2aMM07PIK/uFlkAu+7E12q+BV+Erjq36vSlTA7OUQqwQ4wnnFWJj
x9u76beW4DeDSyq235N5/ihYbl1Wj1UgwsOV0GylN7riMQPMnElNkvzt+U/aXj7Xi3cDsNTE8CzZ
qv6K1XKeuQoH76TdvMyfxmGAnoP862XqO0oCMcFSkmgonHsGmt1faAMI1NPMVT9q5GWEJ3vriRm1
c8DPpi74MbxveBoCaTggwiNkQQSKub2guGAj/2KlrMLrmz2zKAjZmQUzaHswOvWMcbP7hAXQPduc
1i8sijtyM4x5n8DuZ4RfpJ5iT+UtdxIW3pHJVhK5zGn32o5dAIzafR+Y5XoPA/rQ/DwXz4Y/k5QB
k5rpb5Eg9IPXHaDw6cwfjd9nn9rJgUP1bcZQpyoTggoJtHF+klna1Q/5hqAgGrN6y3co2s2oFDeV
B122eBJoVzluDSZe2tEfZd+KNwIj5QuKpursi8HZWxKUbIwX8K2GBYSCHALKTs18CWotnROJ1LM2
WJicdg04K+HaXkCVZqBItpqDQI4Z1Hprvt1ssfbejOotsEhMf+tJ3srDIgfuCvavWO7XorLGCBMv
A/gtneGBJBXugVzoKYSgdYqHZvmVuqjqGgbMPxJ0Q3euTKqAjoDxGhy2AEGNFWwz92dFz2KgnT0x
CNkepvG2fev8gaWtSWzVnHiHZcnxDNdVUQ1kWcXNuFyQmpMityv1ZKGcXDZ9Hpo8PVPONCSmCyLW
KBvUqz1MKfjSlvv9QFMtHouuZAeAAXJXbDS6Qd7L/pnP2jv5mh366WZIqpw6VKXpXnQyrFHaYCgN
66EfPloga/R5zsogxhr3cQFlxYGstq87JlmNcEuY11vyMLMY2482z6id9t5VGTcrZtJDWKP/sr9T
87T09Ycyp6/YcVFBFmfL/ehnLa2AtBEmqosx/KK+bPajcEhGqFGC/jDStXsse7SXsohL0Ie4WO8b
g8vysJqTysOh8A+eUeRhQmrYIY8d+5gzGjmgmvVCUbOrvG8yDlu47gA6J/ZrS2yK9ZE1uIVmCtwT
AWbV/Jg6qYFhmqDkS4YU63WeYvZkpWkeWI+Wp3xwcpQAqRwiRozr98yw1Q2SBuWSNxINV7OpzUI/
H1yJX0KqNmBu3lRRU3n4dBeCAPKYkXPPVTvf9gfesGRInVs9MGOskqOzaPu0NX27V2wfr7U7mffg
9DqL+rZ4X5pUWmc2HKCUtHDjo89gsjzm0FpuXlCm7GJzjnzLOlCsuo4oZ8WvaUjko62tgbqaAMwX
TpvU4cGdpjZMF0BLPSTqao7nc5H42BG8PbF2BKGyqTkkcU0b7jgDHgFoG0CGxuEwq9E4e3n+BTXW
f0ASnOKb2Kzye6rdBNCM53D7jxhu+sWme5jWeA3ZhNZ3Ljpp5Dyz+c72wH/kgkPOZGqwckz2ERhY
0x4/G8/E0sR/iZcso0JI92FxspuawAVW3mhXcIq2xruh0Bni0InR4PsgeA8MfxlhsmV5xg9k33ZR
lrzvY9MPMn9bvpy8JIeMU/xgJQaeptGhLCNSj/ix4bu3SZBT0LHYeDDEVU5CaKWzCRaRGnUWRUGm
5UXyG4rytXCjmZUWthlo1oqLBrl2R1JmFrtgnsv0XUz9fWepcT8UzXDAZQ2wdaC5ud40PhdV9C4H
iVVOx4YeI/RZXZ7QGK9P9sJmyS5r7B7lm7Kqb+zoD7h/cFmItAi6pTD3SJD1yciIyegRaTeuO+yU
GLeHsusq4EP99NBQfe1ATifXdCvSI5MYfXbFr4JFzziONj6RIjCTZT1Kw07ppdgFr+la7QUXEjFn
//B3AHU7qmxawXbrXZOelsyBn6KuPViyYsvUXeIm4oKAtYcxLDWbkdZpw1LMBiUjmYC6S8RumPUr
O0KK6DppYCWuLatOsOEonounZKWijXt21N442U82UPfzbLZzNArGwq4BXJD9T36ZVnDIO9n0ghIU
LxqPoRMQUllGBgw5NNLLMS6VOrDyPCNPQpmpbzu1g+nOPNNroGsHKQvK1nNciTzorXy59HAzQ3Iu
GfBsDXlqAmzyPme5j3oW9U9QFb0dgp883uI9O5MaYrNnLwBojB5GkYsRbxXnH6yid/hzjYG5YTWi
ZkgBXied/2E6rX0AcyV+IFa1A79LynO7bFMoDJHclQiDIkf7M3uM3PrpSU/+YJjXPlMB5ye26ygt
6/imUW2NZzFPznOxdQVnpYODn91leu1xUJAz022RSdH2GwMVLbRoCcayx+aPxOGErH+8Ll1+wWQI
at6Mf5kLd59cgw2BCeYQ47XLJ+NirbPatZpoIMK9XaC1k3+nlfZfvDgfwzoh25XUlzqc3VpGgxQe
u/32Sp4FViZsdQphayptukizes7npaBOqPsvoWo7JIgiDmxa/BMAuONSbMbZlPAKa6HH+9tI++z6
xbPTpIFDLsXOsvv7xvrRmcvdVJiILLy9NapPgqYfajQyxyJdXsij3aPMfobvdSRP43YtESgSE34S
UBr+6BP/g8Tu0AJp1zPYCMq+6NjN1+lzvkzVkTUlB7uW9dUutMVzjBDY94DRO2kFzcHeLsiXjch1
vPJYFd7BXomvLPKU3FOT9F89lsmBYOqXG1Bx561A7a2SBm+bja7g4WjUyUTNcdzSqvgtrby5FshX
tyDTtQrziTPSMo0ja0gZOmNpHgjSjlGDuPHl5n6MjFvurs9OGK1Nl7vXLGGj6C1uiMVnPvVlUR4y
9ySm9ELa53GTFTGgInPeUIKPV9N25VuWoyvb9TgDI8cCrX0oYIMpMj5XIJtePjn7DW33u6FJ1fQk
LcqmsCRWm99e0sacX1q3eiwcE8Wsw8fPii1nfh6r7rte4JZVxWoQS+ahsOWAP5st6jNUJXtGTO2J
zHJSnxiph1bRr3ebJWbWKJb5W/L9sRuaYKu69WJ/kJ3Rnebc8x6XCQp9bM4ChgMaz6RkRdQt5p7p
MQat2OTMaz4kCWHPc8xCZGct/vpUYeW1kK+pfj+SbX3QWX1zJZj86BExoNbUfqRRbKFrY+WLOoT0
iFYR8rEisYQTD+r1ZmcR37a0092wuWfff1nIhM5S+Qgj7wRy+xfZwN9r0gMvM9uGQtzqkO85KumO
g0BKw7VpBNopkRVYBrx+o9L3UzELumwjO3JzHQvhHIU7sNyaQ81IGFUFQaJewwvlkvoyxt9KAxaq
Hf8wuNvRMcTFYRG5o9bad/P8OVkaitQiZXHquA5eemGu9zJOPydpbXDEjXeZ+c5DlS/jl+FIoAeo
GeuCssWlgTjJjm6MEsV4WXx510hMEznyPLdp1bWDxbhDcP7BAZ7slNk57xJlDEN+tYYIq98rV8FB
IeAi2EhWooYO+rYI1mb8nszBAuy5MLB3ES6jq2f0X6m/BeBWlWanClZJqqvXTjF2LxxkeN2c7Dou
8H0Vw09DoVzW64fRAtXwVqOISIEnCq3EsvVCkz1Axc7u8picJl+Mj7ovKfVklj6mg3zLG38N3IWl
O8xe6kWgenswL9NODtl+6chysTOrZJQn7PuFZXnosSzAUJYD2gSHYw3gYvum6QNHzCSJXQ3fvLQ6
y3gd65cpByM/1+fYHxA4kyKlNn/pSUed0OE3onpNumb5QJZJ5uaAN4uGY1e1yxG8BnlOLazOqFzW
5pSNCLgMBDwnQ6TWsUDz+thtc/IzIfsHIZD8ouV/JW4m0I9Wu5tE98dlzvWqM9o/dHHxKWUydCOt
Xknko6FWirSNBbKLTWoyvcn0kFSMW6apad+lyLdjkbPKwlbtyUi0sPDqce7Drl3bq+UyMaNtiPdI
kdTLluosiM1tuWvgFjPLtFR3Uiqfwh5TTFj7y9W4GS58nS/8oszk0FpxFrmWu/o7BE/Z2+ws9j3P
WWQRNr8qfKt5jDMb3SJTr9OWI2fjc4ePYbCNEw7pLGqkuYb8ne5vhPXQRXwkMXH+ggQ5Pbh4FA69
3xbvBkDhsHP6x4l8m12e4XHDjBaHSIwRdXHPUyfPBsNXLGdW2T4rc55RxM3Rurk2qm+jq09A+3DM
a/3pNDMbeU7xk8Jnc1eaFg4ykhQYEeMGvAXL8zs76kV6Vzdp2VczF2rdEE1GEcaSIVRaE8XAS/HH
ZdS1G1CePNYqX56wxnciLG7zcFAJmkkqCVkWvgqkLsV18Jr6XEvAftGQ5cg5jHggQDteFxbuWKx+
9rkeD2MhnX1DpUlBVUxhhV46zDazJ+HLZU3GubCWAs2cO5McqNZL7eTGe0yIFPkZtB7RYAjx6jsO
5kzLKwAIlE2VX5eBksyNW3FEU2FeWK/VPJ11ha5iWZV77+LZvcTJ0B35FBmZVjZe6eWt94xE7BPr
4e7vkLaUjrE9XHVPw1Qb0nzCPZg8GKqRhy4lzgLTCQWQUKRyJdnEzQtOzbmy8Q17ij8pfPJ8cqYU
V793rJepspJzuVrWKwd//TApmR5mlDf1zuyxYv5v8s5kR3JjzdKv0qh1U+BgxgGo6oXPQwzuMWdu
iMiISJLGeTby6eujVN19U0Lr4gK9aTSkjSBluNzDacP5z/mODTen3mmT0mpSYxWT47iu2PoYaE6i
Zsgn6x4lrJzs+N13WS9WCb6SZ9vyb/sASo83jcVF1SVBeS2+QuhiP0zHKmOSIU74GWZJ/sQx5JsK
qN6q0+Zq9+2TDXh7MyyCVz+Ph26eql3K2fmstcnXVSJ8+W4xHLRBdUIlE+/gV0Ktqyg0t0MJZzhC
HsRwls4Xsx8I/ZpZly3MB2Sz1O54tAQCndtzpcAsRhVndedjDF/TGeftu7h7HibA5qbdvCZWXa+b
JC/2qS3duxlk9MNktPV3ES21jGbojXtH9qJe94JCeMA2e0z6T3EcBEf8kBx3elpN/f7MeF+x4Gl1
mmzvZ8Lxf+WQtt+kSFCsBJq81tD7wZOV0ZFHyC7VhIpgKIGZvfTefHEjN7jGHoN7IHjVruzsjyL2
+TLCWL/VOWfjBtscrrzJeB8g/2zDMvgedJZ/IOJL2Fn6Yj3hOGDxwEPLiChTRz3Y1oFdl6uxfUo4
NT2rzIIHYPH1w/6FeVv79NpkLtmSJrt2iQu4lcHUDivbjcVBvfWJqDozquR2wJBzBOdgUMCkA0QM
8RRXLi+X5oxXmpSycgzIm95WSPgNbz6r1p3l3Btzbd5YgEMwEkt1snycC1aaBihDbnruCv1g2Q0P
Z0PJlIep7WSHweOkO3GOi+LR5CFamZKWbhBEW91lT2Wm7kCKmkzRK3AxtMNaqzm1PHqD+tk8EP/s
djYnHNZCpFHy0ZiOIkitKewkDHwLNaGh42WCy8YDxIJsBU31DN7b/Sylh2pZxgGh5gbWAFXRx5Kv
IUWoFbP6aU5BkrMs3nZxG16aeZ5PE8zKW/LI2Tqt1LOM3KsLFmDXi+AdM/o5o3WUQkNvL2TLUXBy
rgHnonMS9+umJs2WNy9Ubr/JoURobSt6m0qq19IrnIF4Qy9Q8NhIh7iQAVDWMcvmXNNitRkiN36R
4FxJbI0caXQLUaPxN7gBvU0dV6CP/YUj3AXEBa6aWdPtkts9KZ6191yHeOEzr+LY3TVoL73kCYgK
eWP1NnMxym7NrU8uBw+TT8l9c7QIBZHdkHOy9ydGgn3CaQEi18R2kme4UE0pTCRHF1NrnQf8Gv3c
fsFFC1zW6yt59Ok4/GGhNfD89HZ5ww9VJxxJzzil9wiE9q5kfbuFNKe8tUHn6ceccjBjPxyvyQi3
ml4xihGCpjPfKCgznrj3OzczX+UXXWTDWqOxw2bv4/aedQGsZQRX5Lurg+Ej9jrudYgGwcBQKE3l
fG4LmDKot6J/kV1Lls7QSw0iRZ0LIAVmBS4cNa3mLuGYmVVO8JRZbnuMdUl1fN6Yw7fR9ORzH1vU
6GQeOlWBa6lAyRT0GDJ6y+4j6RsFeWqNG4Oq1RGasJ+Iag0rMHmmXr05Mo7iGEc9b7LjRi2wVtE0
RIKvIlDg2bjmAuJFb8orPmKMJ3j5uw+u5QaOzqRUG7O2PzIOfAzcZgSrFbWx/rHtTf882LiomP/x
Fw62or2d3DLmSGnKt0KlPEv8a7O9NRy3/eFAuPXWrR2WIHkH+ak4kO/mQbhHP4xov8uQVvGq49kY
mAk3ZHd2VZLJaw+Hk6fdW9yxtcdvr49d52AYYcP8iWIJ5TP2QekqKFpz6NqMZL8rOg0NAcPYgXzn
g6uhXmAFtoq1wnW3ViFp9M5w9SPKWryD8UOyimQXZaAEJMiuuYAuplnBOfJcDaoV8s6Psqy7AcAA
xpHWyDBldphjgJvmB09nzn02GikRkZBa0xU2MjI3NDcNBLYBMFLy2egEIouxr3Fgr3GHvRdYQIld
hOrCF7/ezkbQHwE+2Pf4V96DdqmTSjjTrvpx+Caqrl+3Iqrxps8XXHv4w6o8WPXm3IODsae12+Uz
Idy3KqEWAMutY2NxTrySP19bzxE8FvK3zT5IcD8WA1lCHZXNtlcYD7W2IAVnDUlgya3Dm5sDt8B4
t3iUHyjoYK3v3e86pMNjCxS6hm4wNLeKltytRgJ7oFMvzfAGSfHEsGkm4q3CK6j8ZEeqSH8LO+sr
mxEd0iAU90XT5C9Fwt4BRNrE6hUk136EvT5Il5xiE9RxsmKK4s5rNYfBOUGW5NaRKuAJvdk9ECbI
czLiWNDXuW1iTg1AjnAtFdYGiyT3NDDj4ezoRz2l1iGR/bAXOuCCVi5TteQ4iZLRqTN422Wn9rh4
bD2iw+sKQwBhsNrEcFQtKWEqP0Q3kAEhqbpRyThsS1k9cTPjlNKJZu+T2b9Vo6JvYSIdOKX2d+Zv
4ZmDCC59TpPrvOZCMyW5e5a4WdeDUtkWh/ZwS+xZvnrGvM0jc9zRbj4d2q7zDgDbm3M1W8ku7Vvz
IR7tYc+QAZmzq8YK7Waq6j31WOFjPGj3DrmSt6IYCno11RyMpq0Ln6rgfCCmCjwBzimmawUU9Bkc
xDquyArTTeT9nKaC7namL9wBmbppaIwBWXQx8+1BS32KIOneO311MRavMWreba079ygyT0F6d2VJ
HiRCjKtNmuUI/wwEVyorXVPU/BOwIMm70WWk4pVO/5lhHcA+n4UHJ8p4vbKt7L3FQeEsTH3I8ql7
x0oIFCIYDEJgkSySF36/3ye7VnuNiMDWxVx9FVFtxpwk3LiqfTOFivexSLD0j1QfNCuBTIe4w/zO
3AiBdW41O727HVOXkWJjDedpBqy09NV96yZnulA/jkYAmGOFnXtpSS3PXiHJ81UugfoVM3PO//UU
Jw9d7dfIxap1cI+zQneleWHWsEtGvr+5nJ4tUkqfs5EnT23QeJ9M4IIb2VunpFcOYMmGIsSVTzqi
YC20SA5oo3wzGMjel1bdrGRR0DmvLGNjgtL5PgaKdL0Oh9TG8ukiBXNm+EAD5eZh1859BKJtizEI
GINfADRyHH2EWhUAGdPCPEc55Q1adQyYDFlvi874Fja6+R4Qn3QJlA2E6BuP3WZQUn2EiJVcE8RI
OobqgAOeHRKBZV+/Igx9S+L5x6iDjG3cbZ4dO86OSS3pRWQ7Td4s7p+v3QQjgFXInA5jwzmduwZh
UGUuHCvuLJsoSIjTpLq4Uuo7E0D03fsOhNfWph/7MBMYJ8vi0CZggYIRu6IiDohxV4XkqsfOWE8Z
+KHlgpMiS+xmr7ky8QJgkJSQDmAL6ANh0IBRhuHvjVrb11KYw41nMHntWI8eMHkY6xmlf8OhXV8y
GYmD3XXRW9wVznOddhBIDVwrTHtoYICWAoqjX/RxI22sOyIt6E5mk/sMvCCoj026KROJmQgg37BN
igmhHT48GGl6auh9s2/MPivWXWFj8ilm1642pe+pDYxDwk1e+1NZSUccOsQw3CrsDE1Kb7btWE8e
2v46Ma1g77Kagpec8hsjsy9yKCi/gam1skmn3U1NTdAq0frHQFMrQR1/9K+C4XfDFQkahUmo4oEh
bfAILlNfGGC7P2w/Ls7GBG9EFOZwUo03YRyNsp6KxNin+Jgp4+R0bziIHVJA9HbQq6Rp16R8Yc9W
it8lmfr73s4JnLvpjebMdQBoTvBx9F8omIzBiWHrpQJUq+cav85lHLTUKyqB1IuuZ2YEhj9jbkqG
ak1L9i3V1MWaRnHiHvnkHds43UPNIqeVJ8iRoe+fFBWfVZjmm97JfYphpuKIlkH8mWQeT4QeT+Bx
5+usGvTNxvPydehP5ltYNLg+HMd5NVznATLMc6Cr8UKLSbGhMDZFEAJxR39lvMm1usbMCRPcUAfo
tTw/QTBB2K1QXjNd3KUlRvGiSY8Ox9krmFl0Ay5RNyQ9cKlyeXJuKy8oD+h+H35bPQlzOkdg6TiJ
yVNR5wxtTD/qDyrU5lvc1N6uzfIA0pXIn62e9lSqsEZ1LFRxskq3P6MJ4AkRkiJ4y67pV+SD8lvS
2VyTKVNuGFRjXHXbZUk36nXtAk2I6kgdbCPB1rHEOHKzpg+aiDYxvH6i9qOKloSBMLMry/RA3EVQ
Cs7OUe6YSZrn3h6+qsZC62kjeaDwFWmP3HR1x7ol1/i/phN+AsF0OtJPQxdpSoXC8bAkKB6wWGbb
mQzbfRRYxUPN4eJhBJVHDi+vvsHXVzFxND2cdW626ziw/J+udsKXoSUzEYO7zFGkwzrlyZ/re8ZL
wWtBTJVG1RLVIIYtmRLA2ErSakc1yvKYx559tRI3uXOKFqF8jpcI2eh0F7SB+CMbmSeD4SngGyBE
Ynew3PPktuLNSkfNeja3qIb0iPXzFDTrKdUZvq2EeYIUwUcdBuLEQSX6QCTkDKEWKcqp1TXhEg7l
punlye/eFino1QxxZa2C0uy+Udhqv6BuJN/wp833aBsUKwdEweYmUF+xIawHOluYHIRl9hSqMN4y
FuB6D7gFZGflPUrTMmnWreUaTlH8MESMz6FS9dmpi1X6s7Sc4bFge2UwQzsDKQJJprTC5Z93SmwN
FYannoDurm7Za7g8F+aF5vDxGzKLe8vIKtv65L1TvvKivWdiIB7zngs4VaHpY1oaP1Tb+Du3Yf/s
s/AUR7plnCOb+6jW1jvNAMiKKc8MKaGOUJ6XGBiDmhyLzUyOL1XGCnlmeCCmxAHQHvtmkxXgoeYG
IQOM9UgOzrZ+2soPzzh0qmJVGT151glwz8XlcLBjGAe9hxTHfmxqekwIomquzqgFTKPsh7FswwcV
BOU2wgjwVITJI7srZx7JXZrt1zk0OZhmCr7Sc5tmmiYYwGxTVzF4MjJCEzbHWqJwffoaqGpCjMbT
/zYIGB2rIFMjsgP69oyvhiUqMdKdZzri3Nr0KxZV4tJZyvSu7XJnTZ0cczxVs10x63tEDesOUpIs
HOdFe6/Mvv2JuWZa+2UkH2di+cdh6jPYeSSfuHQFpyodXTQNJjE8quDtRE6Of2g9dIXJpTIUW17C
15IJNnmYIemu+Wx1OOO6YdcHob/DTcaZM0qwyjO6eWwHXXFjbqkCEVCd161PDRiXysn/SdGtZKeY
i+c05jNwRevskswtj+UwhneN6pt7opHpKV4ADNGMUXBFCsHnI7e+WHCM2yGc2m7rZoYPQC7LWIP+
O14xpZSdTTt4NJI4tF9+yboMQYSE2besmyJGKFiGn92M+YfEfXUZilB9p31nuJMOQxd0Wsyw6QBt
MBaq+KNl4v9jIzy+dfi4f2OEb9v3/B/973/8gT/874H7m2k5NlsCzm7XCxZn/PjVdv/xb37wG654
fraLL1dQzcG/+S//u+39RkuBJIfm8oct38Ea/18OeFv8ZlF0GQBL86QEQm79K2UIrrVg7P83INkH
J2xizreQhQNP8Fp/Iv2WsTeasdHCWY1n6lFMbcTWtodtDpSuxGjJYzRnFz8JY2CzGPmLNbaEjltq
p/BpxJ03tOiUptdsZuxfO3hzs1w5uexLFNw+TPBuC4zfZJm3tmWJr8laDIoGu/hJyIw+9AgtYy2C
ITlC2twqOoUutM7b1wBV6S5ieMrl0ihutB0kRxKrzKRt8eiLql3zCU57s7KaTYmJ7Bafz671K2J4
1KVL1zmBJFp7Vd9v5mac11jzoMovC9Lc+OXOQ0DeiLTHbSsxV5R1cBuSwr0bjDbaizn+XlhJcp7s
DLsg1iYMkG2wA6TwyUJKIdjQfuAC83G6QGHuWkmptw6nIz6k7jqDu4BNB6Y+IIADy9IiYmZ1756m
A8X0zGan+oroZcBr+on7FQ6eddfV+nPuGQybeuJ4oIw7tybRouYf3MOPRuRsujx81bVz5nZ8Q5R9
0039KRdgjCk/g6ZHKbMofZBr2vnMsmrfCozyqTuBbpjKtT06T1GAWIwgPm9litUI+FXJTFC9Au7R
287z3lxlLk2BIEC8zdiOzTrpdb0Notrf+L0xnAms0hlVW6c8LycMj2KPU5xLR9Zd0qZiEDnrNqe/
iKE4fLwfdMH9ji4xr7Pj2kS9JK6yRvTfc4powFq6Q/RhhzDSYqanl7R3WFCtUXw0DcSUrK/9+zyP
vDOW5elnE3TgCwXpbW6tYONwGI03lIffm1aV/BTNiD1gqpyVtYDIYIOxXCZZ91mlYJlYPB+sOjil
GKGoG7bYIWejce45rIcstf4lLT3ij+784MflNaVh2IhG7zLT+3uUoIHOSd0tJURpaF9wStNUKKeP
TCq9843se07ZwW3ruUfDzmaTSG6bPngeSEoPJ9JZmz7CnYuPS1Uj80RnXsMmms5d6t1bhpAPXdS2
1g15VLi/i5mj3hSTkTCiFfRo7bqcs/8aMFWEGSLICHeqgTe7gV3Ec6fcnp2dUUeebcUc5swnEkUh
qWEo+6EBAI8W5OQt05YEtNwmc2fTXPdDjYRXocVF29aDtYe9Jk5cFLoy9DZhFpIPpLiKK3xvFFRj
FlHDFMwQSd4deiuounVsLxXmKhVJ9YrLrwFOYRR+N2/S3F9uZGbpr+2ByOGdjLlCEyzAiHAO6zgb
dz6+KmsVoT35jB/BTB1TmRnlzypN5oDXZVK0g2OWgV9AkXY5oIQU6xHNANtLLS3qYDSYstzHjjsR
hJVIHNsO8SkGNUjV6mdpD3GOUcYnOmDB6cesWQfyu2lH02sx8sQEnUK/jxp/2qgQ6uqKuElMYxQY
UxxNg4H+xNGSuJ8sM5I+HKf4sLzUwMwhtj3/G8+pMnlCOkbudsJoL1VF/tgSZPgaQ+LX2BdIZOBV
Saz04paKimmK/wp/S6FaG92BtOO3jyYU76NBY1218W5ma9P1Z4dkJzfgfd6Tuz9iOeyyj7ox+mQX
eCm2Fjv3KakSg8WRKPBI7uk+fgiK2dwyxeEF+yrdMA8feKNV7PXHKdRwT2rGsFk5n1zDtr+nbhLf
FiRj3kfS5oBDY13f9iVU4FXsz+qYa85bPqqsjFuButQ+qc57ijv95lP2uGkLkEq+HGsmbXF2dZTF
spdEJEaKonsUnlfuhqH1v0V2zdnS6cT83aK2ZQRFs8Tfi5fQaOjXKjZGqwb09KE7u/zcZuV2piXB
POtxyG+6ZkidfWCEfKK46BYz4GhwHUIQvp+azNoasQ77fTQCbtmUHnOQrV0U2Xhm1X4ZOqG9nRvX
3SMtdZnzQIvoEO4yz2OgQWyEI2VBCd7EPEE/yAw74iETxDgGUBCEbzwr/mTgb8kVgUVKX/1GJE8N
9IgBBPDcNacZVxC66pC0sGKieGUl6XTgWvNDI7XC4+e7bEHBc+EORdW8A3uJ0U235PW7KbkXBtPN
wdH61nf66wTB7hjGrrr63Ji4lHJONGbTQ1vL9LeWseG1MkxqhgcyW0/tnE3XKWzy7DIEZfmjoInu
0MPGOoZD7sGd6/383aWz9GogfjFJ6IJ73eXw3rDx+T8izruvGXH3msiKJJnTOH1IPLZz/J9+Ntc3
1dSPP8Gwjz0mTYgMT9jSOcx6Bo5623Epc/HAf2c/k6V7hZxXbN6ldEY+lKXlvuZk5/fJkNgecFec
AjcW7nhWBTCwBryFpzKqaQFroTd8wXAufw44st/I8GN7rQWNZ67MseEi7Szlz+BF7o2S0WeUtUZ+
i11APOEIrPObotI+RAarFC7Db2NQ28CM/TevjIA6qTbQe0VRin1yrVR8luSLoWnScmeWRXZTJGh+
KLOh95w1lvw+9+wgkNtYJL18it7cwWDWri3y1NmU4c4gc7bxbc89hIjiWyuSFpZCuzsOwk4H7Iko
GbIfTYM1omzSnY+cXuPpm2BQG8HcPuvYMu7QQVA9ddSiM7lRNmPeMrDZL6OhYmSVrLNp1ZgE65gf
TNk2poPg1Ha6t3ez47Ty2qghe8vbiC9dGUXOYqQcQgc4SIDJPyjgKDKx6TuKdRPbaLiBmOx/dcQE
/YqSa0z30mUocTVAIqFlloo7DC0zkONax5uqTcUVKgJAlUUpDIJ0dChb4pa+j5pARjdJYbjTeijG
4WrhQYlOlBZI82ZUamaCHmAHQJooH8D1VySPlDEBhaoTWb2E+PA15nW8HgrdNSAyUaQ88hC/AkzY
ZGFScp/7sauDJ0Cr7lVxckE1CVn3XTxEB0PMziGQYNoqO7EP7Gf5PchIrFvkV/aEyBgJkhdnZKva
+aYNBRS/ginJOcEqXVM2UKNfKgDDHxoiQoH/AqBQ75h37TQye23CB5MHft20SbjtXETSNquGN9/q
63O+kA1UW3frFKogE+jKjZ6EjAhxcbop+A2XmGwmH4wACoWf7mk5U8GBkaPPrxVYtLMmgC26i41T
/d7HfI7NNHaexdjpmhYHAyhN6aYsy3nnuimGMJUfDT90nidrgJlaTpNH/frU94/aUSNIq8nnhmjP
0SfbHItl2IxIesMIQ+2QJSbwGu4f75WVB+cJgekyi/JS04Oxb7GHrLKgol6ymOUNRnZ/U/TyXANK
3RZ29xS5SQowuQjPIw7rdzYM9Rh5dvZZ9dST1Wlt1TuAgCnelCakFld49WcEIGZVljI8Rpk5HrIh
Z4OiK95jTJw0CqB0Sy69drxFA8KvB0lEc2y/lTFxvRZqWkACnHRFih91XXdT+VG100dXG2hu8Dnz
hY4Br5BxYoaFH3EKvt4/XM4uf9xt/hsYskuZFF37H//2a/PMX288SwfJP1TCOLgdzZLkxlGUGTw3
R7bNifpK9fSvv4wv6LMTtgueQf4p0jvMeQFJyBiPniaHjkQeqXU91cL7J29naQX69QK3/H4twSCX
GyH3uV/fjhUYdoddoT/OfdG/q2WHd7uZG0E0+RTAaSNNvrIBrYQZWm77/+TV7V8bW5ZPk4w2BWki
oGAscP/8NpMxSukOcLqjaJJqh2+je7R96mzJ1M58Sdvs6tdYjFLChd/SqUTm4DQxmMHTzOlC/H7M
sCIG6IvQ43Lun/VFe2V5dJ0aWcU0I1qU1dyhChtjkt23TcNSVXozQAD6vRnaBDd//3v76xviJmzS
ecU7o11K/qmFacaN6mUlrLU5aVs8ETAIK6ZZyUi3hjsE7PFR5jvHf/VFHdM1hWX5nExdz/zTd7Ih
eygGFBpeNJpvHM/hLN2hHUanxJvq979/seVK/+s3hhezzIA3yE8SYpEE/uEBiMCpFpmfd8dxpgFc
NvanTo0dJbHdP3lXf33SMJxzDPEl5j1BZ9qvL0TWiqKiOimOCTa07p56h5CNs7Bkf/j7d2T99Zfm
yEBwi+SYaGM8/tMvLUppNpazzI6dQGyOwVdugGLE0Q3qh9NTmOzY7T5AXgzY8sb2Ph17R1wI50H9
4MjX/376gz/K7Kjpwxlk03I+bH4/K/79/+pfPhOITXy1KGK1+Fjkn6v4IkNEcMD9hAKE2PSOld93
F11qLkv/8us4PPZSBouSRNHXr5+9W8dtDTQTKlrIZWDTMHVONlEIyeb31/m/LffdMkGjsOxn9+/L
T/4oq6kh4dX9j3//5Z/+H6Jj0ItlQnH4P6uCl75Q7z9+kQX/+CN/6IKe+9tSvwbCyXF9C9sMX+k/
dEHP+Y2iL4eCNld4wqW8+3/pgo79G1Id66wHUEC6S2vb/5QFg9+ksC2TPyg91wVT8K/IgqiTv6wR
nsDG5EqeigB/MH+LPz9QUcRdsbCLfd8P7aGx0v69oOMbd4cTXhz6kyBw4SnODFGe8aPGwF2K6Nho
X50Dk0hKz6rw4heT/AwaswCM4xm4xE2xsbEmn420iLegzLiFSBmeCFVDrtTzu9uLS0lmz+lpUnN1
fjaMbBHK6PPySuKIWCPuHLAI62HGmVCKz1AwOx1kfkpJe+/J/7HpOGaqd/QieOvJ9hPA9571nEmc
2azlcXZyZlHcgraZ7wvCRh+4UeBf+677Y0rs+MDrjfdVMBkgiAyGA5UrohfbpHi6MZiZiqlPaBMK
0+9gfTMke14VQ1qEyz7Jqs/BdIajYDD8KvKWbFixUB1cAhh1kV8r6szeqYzDu25N+XFsfHoiDd8H
BioxVRAFpLssLXV/iTOtD7jXi3MZjT0Zm1ZS7F7YzPE6ZXNOJPzRaP2YwEC9a2MxMl0Zyr2Rexdb
FMNzF5jRV50lzVvijoKkBo2MpekHl4S9eK2bstrSYpE8Diq3j4E9vShvqElbJtajk9by2PNZn5Eb
k5sh9ouXkbnpPqEaccVJjkUk4uBc1+p9rKvkLo79eMSahsK8IhE4PNJClt9BTv0KgQkz0UmxS/Vu
/eYmU7g2UD4+sL3+nNTkzxsv0K8x5Mg0lqe+Z8iYVJZ1pd3B3CY+5WPKG4M3gZn7xpoqcXbyxgG3
O2efIsULRZX7UieBg+duKhzjjsIfsu0m9dcflezrfQWN/kignMaMuBlPuSnCuzEDs+tlgskZe/HR
Kgz7tp68r7A5W/abo3hlRv/BIxfP8pThQtnMYeEx80de2c7RRO0mNoViXvFLgDDlluldEM/sLQDh
n218ifegPJt1JMr6lXnqdJdNHGMjE4r5ZNfYMJjSrx3CMZseV2SzAsAR3ObM68DplRUVYjG3u56Z
1ioz3J/9KPy7rve6bW3Xwc5FJAZWYGsS5yUsz8B7ZnBab4JU0jGWeIymgEs8BZDVdowms3eYHAhc
beLQfu4alFGA8tiqhuxcDUZ5NzO/Xuuph6Y7kbd0+9JER4QKHgGPuc1dwNDAF7x9psz8mM/efaGb
fU4YDk/jXN2GfiiwmJDG61yc4Lraz9FSfYGHB1jDNEAuHWm1lfG0twQyaiS1v6p6M71WjGJ3lQFI
MSXIIrit71yrcfdcMouzb5v+tzQhabyCNsHVM6nHB7eovlGP84MWmK2c25u28D4U1MXLHKb+oTIa
sXB1Qxaf5Sfmje9wzxyzdTU/jK148K0EA2dGx1UNj/IRMwwH/zEF+pBwXdRJ/unI8q5JZr0Fb4g7
uHeNh9Kt+teYK8vKtNJ536SueU9aosNBXFhnE8nvVHLZ2fZd5X11xK52bokXoelBjLK3w87kvPHo
kL3aCi1sFo9Ar9uBUplSlvOO7/HC2cVBzwG30q8RfosjYMB4m6WAqm3TK0+aHNPaSweCvlA8jykZ
S+i+QFeOLQjZfchZ5eJHs9xFngPWYbE3kvBdWgn5beNrJdE3F8HKMiguSIOapGZIbTFSD9HbXmJj
gEb0o1JWXPNflxPam2lhXuj0acEFvAJkmdcDBVk3XTAOJ7PWhCuy0T/EUFR+jLLozmMMVQ3QvvnA
Qw4oMlkwI9m4jFA1Q4dnqPqevQCpq21a6J6GIhH7dwBPfR8jru/s1KAgsodu9AkW4dkZa8J0BOCN
jHAFHwTyXOlt2DDk21DQQtyOd1PCOw/VGhWuWDfDJBk8+K56a6IcHx81qms1dd2uLJW/CZsMPq6y
JXzoJqaiJ+h5/rtJrtvESnDwSSxkHuFm7EK0QgRro+CMqgLvpldE7zC1RhCWxVnNoB65Az0W86DP
smTvxi8mukec7yCW+vEzxbNzGMulDjEcIMEnV+VQwMNoXgMdw8GStKbYdeU471HeKpIFrOAS69Za
h0697fN5gFXYXePBe1bAs6F78gPWVkrnfaVYNlZRmCt5GNyQSfgswrXZwV8DoLTvzHYGXxhO3xOQ
4A+mmw1nfjqj4eEQDtE34i5rnSVPXOPu7DwiJ0ezHMgHOD0dCofMQnKzuiXNapjqpMtUHD3l1uuQ
d/4q88D51qJEbJLaT4/sEhC0w+oRmHdD2RGUcVILw8jUJS6qN+hw1BS4U3ePqFadS8PrvvJAwCSQ
ZGzqYsL7m+bFrgUhBve6DR5aFxd/rvstGugbPpi7UOVn/DgzndDRLZAZm20WK1eICosXDRO0uWFY
EuJPN09GXWPwd9obR0NL0PZAe3RnMT5z9oQF9g1QbPBSmGhw1ufU/8zdsVk6QrRPLkuQsea/+rLa
iakDOAk+xay1m0cnGtFD/S9SbuNPLmDhHZ4w2shDaZ8lbvtiP4xJBwWqHLt3cmjNl5pNIJMa9cVK
42og+ITbakNT3/yUMxp5SrmGGJtgoVWsRyrDrtNgdpupIswJ8TcmhZqj1Sf2ZJJYh6CAexX9pi5a
/MvTuDftwtrMVKNs+hFy/UTm7tEghnvMceXnezeaMME7cbtkvNmkmZxhfYJAkPvGy5QQ5qlKjiiR
WX1lldZPFcr42mBmRVgBqs+K2GFwxaz6or3hUhYDyeAivuuSZuf2FHF0Tv+GAvTczHm7YpDkXOl+
KXdFQCsx215wW4R5nGwnM/PelMSnV3KsiGT6gQy2d0q6K9vk3BHkGcH7IDaSQV/ayoBwpAuOIRpY
MFq1LZWkU8esD6XsLxNh09SMP9jQXkY4Vq0Uexg1eNGiqN5FlkAoVHDO5DRb7LucwrD0kC/0CEzO
020FmwsEYg6vnBzTXUizWybh+xCYIAwaxKLHsktmjhndaK0YRzA2lqbzxPLr30xzS3qoGwxBU0FQ
HC2LU6eI78wyTSiuao1NMozOoZ5bE1qlPz2WKpt3AjfGxaKtVebqUzC45kst+nPPL3oN4OwWr2x5
MrBTrdrFtyhbG3x65QQYu3AiMpnXUADAVpeN8a4mtzpMdZbdYD9ki14A6B0spBW0Rk2reSxv2jG0
Lhy/65PvDfahKsfohIP9nBsa3L7S3gtZXX8JYP8nd2ey5LiRdtlXqRdAGeCAY9hyJiMYjHnIDSwy
BsyDO2Y8fR9UlXVJWfolq8W/6N7IJEtJJEEQ7v7de8+NbVDqBpHYtvXvtfLrSxBa1p4SsXc/x6Am
CcFsB1afFYU1R2Uk05rp56ty9buCC7VJROuQLlWUZ2Qp2EzLeJFJ4b+WDP23CcD0p9Kh8til5oiv
I+nWGGWMr9EA0MCO0r0bpikC0lSachUU0FZdleWHFrwNRwv3YA+ty0Utomvk9/rW81mkIga7dlt2
L3XcqmuZ+Pqtwme6yaRicq1dZSwta3Dxh6xBYlGae4dgC+SEcD1EwNtcLwvWs3TkvoYZ8oQMoe5M
FBASMiq8t3Vt35BKrI/swYZ7UhslgXUI1TbmLFgTcroXRoGUm7T5Z1VY3l5h//0O6jrcjwjbeJfZ
Qdde6lwzl6PzdDbK4j0RSXwNER5gsTX4ApjGlDxgQ8yXdgaVPDdmzpKR1zCfu5COqAVjEtmFeUPt
D7/rPqILJW6aBWhg4RIoox+lM1tghDyxGYyh+HRUF9wYmHmfJ8syVgDmAYLbXfMWcNK/z1SaP1TD
KE6DDyV+hb+159LDJq45CeDaIkPXNMviWsZ3TepgDZMxGzZwg10cOgcDDBwJRfjK7qDKG6dpm6sl
4r2dw/CLCIEmakWXAQWJ0zLvtcNdNrv+mzVqGwd6Yd/DXGpIaVnqKmpSl/2nK/F/SfmDIyuZiiIK
vuo2FADd0vEIhrS6uFGS3PRWnBwko8l165TqVNnEgSvDCXZjqXyL6oNbKvHKbRexM/eTAC+3YSEs
iCC9EbO+FGYsVu0IFAUGW3HyZzJ3q1oEC8PJvpb4hL/5oGob4vG7yrwll4TEElLZMn3TnPrRkqVf
+Qza1vXgRxtLjwzEAytBZ2XsV+TMxun4venpjlPKCs6inrKN68seMUsmL9AEJ4xn+VtFaHydRKl3
rmmOLOScwows8JWIBmGSQz7dEOWXGuq99BnUV20wbelmYRw1qfQ5joVhrzzEp03Mb26T9y7cVkVh
atdp69phC7ZWQpRPtARht4YQ8ByZ8OANZT6kgH930HX9Idxb6MTANfq7FGaZFw08XCa25Ka5MyJr
upnCWe3AJY8rexovqdP85PYcV+lYpDddBU9ZTrrZqFZh/2CuvdezRd9nZpb1WqKdUIwOzUSn7qWj
CWBGAIx4fm6J9lL+qvxkVynD2Pa1Ibac88KDT/MfsBm6Q/uaWIbJROrQNwH9IjLFtywbIoE9VkRF
PecFMyigjtlTa+Ku594j+MxrmQxAx448f86QfRNnqRDI+mEDLSQQL4II/gg5yqEUe9VDaonWVU3C
mI0vafLrzPfpXon64brgUUibiTH2DzCDyjfqvvnx2LEVfiBszAbBHYJDK8KvhPPNPr0rtGXcj44s
2uKocW+i98dmyzZT9jc0SJc3aZtaP1gB9U1t5BxzsRWvSVlhD54Ta4zWlhG80qEYPgurc7YkaWc+
TjJxPi1gKB1xM1t7twjavVdH7r0ux2zJE3ZHGnnlvU2cbN/1Qn+4GmAXQMsueauqoP0YC9TEpq75
MaK9Hrg0AcYKC2QZb/IQCAJPvQsdP6kasoJCO6+cpYfnHovIQ6sGhz41wiCxVRI6hLJ/sflO70Qh
eDOz3z5HYviq81RsOQklpxgixGWy+Du8TcGaUS/yoysJ5zSlYV1Yba1twdiaIwfqwjQZ10ZKr1OW
O9HOY2MBSk5BTAYil2KVwAuPRsjP1qwD78HLR5pUCkHLTlkVZ5M8mdCzvzYjyROrj5IDfq3sFGgb
a3FbPY5u9q7r4TxPCQn0IfnMMic9ego9tdf22pxGRc3w+NJw+PH5DXu2NRFRnn5UqjROSUrV0P/K
3PP/oYmmhcPZQxD4s6Hm5v0T5O97+fm3m/foXf/t8E5DavLbIee//y//mnPaf18mnKhE/xxm/ob/
K/6O+9EBeots5fvCt/7vnFOYf0c3wEfPNPOXOaf5d9MWromQTYSchM1/Z3/8ZcopAxNtzkUJ4Z2g
+vyinaVpK1jJoNwOEBvSdNy7TowNXoAXcPa/uU5/oDpaWEZ/o7osg1yONAg8vKDF4Nf95bUixkZV
LZuQXSo2Ga9nrAfFJPN2ZQUNJgD+Z8p1O7wENozMGbzEknO2X/NI8OMZAdOAISvFXwknv9eC/vWu
bI46yDRu4Lq/zHlDTP6BW6hwWxMpbDN1JBBOuwE+DivSW6rlKR/GgUO/k8+0JIgIRIfQ7sKIhaxd
O6L+58+KKX/0Vf3BZRL/uOb/Vqf+8Y58AQJ5AUMzqjN/eUeEC2qQIFG4beYuBlDgHKMlP+QEVngZ
0UzI4Rv5pc77jmigO5+ggrN3mCXg/4zqhTkufxg4XO7C1sqv7A7Du+Mkx9or2bVgi7fL4Yc3fuQT
JCUKkNyqPLs9NRAcCnHqTfTNCDLjgWts7cZcixgeDt2wS5W9ot+wFPJsKk5ydbqrnXKT5s45yDpi
sABMjXvGXff48GgMcDbgE8ApTVvD5MzTBSs4safIDfedqq4bVxzgDqyUfl0yP3TKref+p1FeuR5j
CGewTzXDD+EcsoBnd//Sd+AT4QEDPx29o9M+Y9KjJhdvKWNfm6lW0bCOt9Hd7CAYpjd0aC7ETgB7
07bwwhPiOwtxuArC/HqSwwO9vieGAbsR3y84UQpmgGjR+8l5bqA9UXgb5A8QiSyfjj73bPsa+3v0
ho3v8JrUUcLw39k0uzXyxfWDU4rfwyvxCeQSN2iHKwpuJcF4TnQHzawBIw+Xh5cJnA0nrvtKyzu+
z1Vq2IeuBYE4k2X3cDWIVG8s9TP2LqJUBCRp8QMsOsBFRcg71Q6/zN4H5gy/MXnIhupg6JupxvAV
xO/08m4d56caqx8N7lzKkyKf/qUouDRUXAbTbaLLg28RVvXh31O2FYUAZsxA1g9JS8W7VxjnSfHN
eV12wYg33It5rFr6iDp8w2FwGxZO9RHZCqpIXXPRih4JekUM/YtK4/gOh0b1HtiJx85CLj+akKZ5
0ulHb3AePBL2T5iR+mMD0+ht6IEldXYQ7YdhcSABeYyeKQmh1mkCOW2xKVErkVkOxGbZFQ9+NnU7
ouge+uTMVrEcxknzLiBsS7jThxI5AiIClJ9zTPnMtd3ZF6kb907PvXffikLt/leWv//vZD8eSotF
/n+W/V6+mvZvK5Lt7/lvl8V//Xf/ygSwiLmOzxrGWuBgEuEZ90/tz5d/97FDcYAIiH3x139rf2QC
hI07PECaC4SHcP9v8c9C/DMt4eNbQDr0UPT/Iaz++5Hb/PLPv/XH/F5L5wEc+HbA79uW1HmgJf7y
APYW3Sv3XX+v4y7bYRZmEolTaAM6Aat7Of2FScD6lX3P62F8ENhDuSIBH+T3SnUqmH+yQHucXrDe
RyJLv0CCqbveKgGDTkglRThDduDnAut6hrBL3Ucsu+dZh/CbemE/ZdS29pvffG1/sBIRpPhlweZ9
Cd/0HVOi2EvvF5tE0DSYCqYCm5rIf7Ql78MaEBGhPhyYiEArmwHu57behaQUN/F0lroz/6mu/4/L
Id/p7zcNvAcyGaySwsXlI395D5kPf2lMO39fJ5jHwqyhNxLa3+Off9Q/+MZxgfjS9+zAY6S1/Plv
DCEeFzmN59RnWAexNBteqGtIDthtaLAnB/AXF/YPPhOnRT6N4yEtcyP9/tW0gKE2pn6wD0omkCOE
kBXimviLV/mPjQ1ga34RVEW4Jvew+OWuwlZtqUGG3h6iIB8jm4B45d19XyQf//XFY/NIGifg86AT
//JC0pi5osvtGyKRYqJMv4dkxgBul7fIiX/h6viDbyqw3GVvbDvSlL9uWMfOqSqvcbw9Zb0m8304
03EPMauYqREaocL8+WcTy3fxu80YVxGYk207PBF4Tv3yXSUWIALtRUzADIdEcl8FFMGE5n3OBPpY
FTH2xVK5u7gd4CBW6TK/LcKfbs7YYChHdZ+CpidkWfQbO3PpOzKlorve9vONJAd724LOqDekogN1
7KgoZwJX4OTUNShn1GRFbLGF/NpJapJXZspyVhT6L3acf/Q7J0+FzkqA1v/P+3EoEzEwt/T2UQn9
NZWGf5x6CaSvl0/GxLYxDRsO7NG3Z1M3h/lXPA4RIb0/v9R/dL+SwBLsYz1T2r8aLnQ6OSUBvoAe
Alzho5PclCawdcuM3fV/+0pkvlg/OD/5xKB+/U7jOm5AGwT+3kP8XI+UngCNKX5ADxfbP38l7sz/
vGEDxj8WLhdQD94///w3jxZVWLbhiQYKUtCLLZlD6gt44t8K0x3vXYMbQSiMqNkIzbdrma21vonw
hNw7LF4IIs4Ui+8nLDHk9DvpPhBdl++yV/5hoDEgh+3STQ9B0zrXbdtXVxSgJHvArOAAaqpdxl2O
SWqtAPytzYJQhBlMyMWx4+4CXU6QCihW05oyZLK2gcW/aBJPkRH+VtzJVIiBugjPXZzKSymtkRFq
3GA970cBh9VPLqFZpO9M8IqjA1Rva+bkCRCTkLt65R0z1XqvFOo6l4FoODKI06yNELcxI3f35Jsi
PFvMD4MM9npORfQirsEHKyyI1KBPHh2h61fRlfU7Hcf+KgLMLlbAt8N1WQ3EU8t+WlSY/JDQTPNg
mLW6+GbBpnf0akrk9ThzRBps9VqPfXimHC98jjHB7ftC+R/u0BAyD037LTPSlzIX8CYyo3JpS2cu
xODlxivijTIp7XCM4lBS+sAZpI/EPYdcxFA7dv0r07Gby9xP5OFb5aJY6WzPx6lhljL0IXtBbeRM
qdkJA+Vo0k6RT9dBRwMNJ65uaZ4TIT6dzlDJPldD/8WWiWuycGFj1ETUuc66UW0Ycsls0R3J1zTY
Ksr+mYkCSYZC1uQwQgz0z2zbqCORZdA++XnhYBMx6R9UijpCVzrXqncBfyszbOCf+4QA1czSz+kA
0wDlok6FSZCmvYOIaIcsfb5v0fRcPuKA8j106cCJ+G55CPVWsnVqKd/iWkxXHv6pNyi/uFF8M4sv
oPWQOYAq8zp+ZzakEsJmXBpdJw3+tRiC56EBOfts23m56k0z/VAy5TN4oeSOD/q0ecjxQzSbIh7o
tmSLcyrwO+VMV77nyJ5SWA4J+pnZ2mG690WdwiTM4ECKrFCn2SWotkly0PEI6rTQhiOmipkNDgMx
Ufx0bUmTJG1anGAd8KSaqoKVHWXdoQ+h/bqU2SdU4kQ07lTGrNdmVhQbSAM3WTfCQ7cr+hXH0uL9
xoOmBCD2W3T+Qrgckw0qda/FAAiqt9QpDqS+iuAfPHDgxkqfTDtCAvGjMINxmyR0Qze8twPBHho7
VRscfInHBLhnsYmw0lNMP2e81TjvoIsiqj/3tk8UcFJflcU4P+k0jPxYqR9BGLgWG1RaZQ1LEyUi
K7DmnIWCB3992Bso9RuVZ1x98K9nv6MSPB6n+BiX2uezYh4AXFq8IwGkNyn5w4Nv6/AT5oMMyXYN
w12fUtCT8xU/0GBoHqi5zLfD1Md7Y2QVZiuqP3CgtXciaKZDMBjFXjedj2MnsnakguHxCdSMng0i
tFvnitFzuh29bgDwkdLXQXYcheuqqXwiB8U8cFBoIp8MQfgUTb1zBdkX/CP4yyut2+Cd+I2N4Cnb
LQQfGwZBqDt25Uv9D7k4jBltQhIcewv0C4bn2UL/rdkcQ3iMr6Il5OCjwfmVma1Z9Zaqpq476HAu
z20uicTXzjBvqnIp6mP4TDbGgHfqdGm1GQs23racbxpbxds+9eYHobzmXM9Z8pM2jQICKARAlvlk
r1Q23jZ9NRwB84avdcQ0n6xS8OQqZwY4OBnEHL35HAXpa8dcal81S/t1GTbryL0N8+LeNDMQwHHh
HrHqwghc2gSYeZML9Y1dZbvDVzmUrVhldcZInHiq9ToGyj4DgTsPYQx2tk6RHQeT5ghnsq7z1oZR
6vpxvtP0mGxkXg27ylloPRZei9TC3Dhr3d+HTV0mO+1Ac8/bWUDTMr5HHFPF4MlHNkkzExzsMjSE
PYNXMveW5crtMFTW2SlbTH762k7LaeVZRr2eeYKjTJfv1gK8jfnkNrxDiO4Eb50WEj1idJzM0LvE
0K/tbrBv1NCF96WJeOqF0XSV+s7ZqQDoUo5Bjsh2x90wdOpHCIhgTf0yMPcJgKRU/i4Fbj3gmhzc
19KLx62VRxNYBUwca595Glze0hjYVk1l/cS+bAQsmtiHnIqsvU6wSlk8bG6SgpZ0xvbBQ8znfdPY
fjTT0FwvtbwF4nNDMci4svIOV44HdoD04aSzfgsYp2JWFswebJ8SVmzEw+ulj3Xzk3omBjDKg91x
jNJphHNBAee6bebvSSQQwxIXLrPXvRcU06KA6HnV+mOzSx1ojVgNqD6d8vslW2ny8EGkNNV+TpuQ
WFqQvTEjVifKQfBFdfO8wk+lNhn9jxjikPYAGPIzHvSVnsPxgvHvuRdwmRCJn+x8oNmDRf7WNSqs
c3OYZusMbYRwuztw52ZNvp49Rz0wj37wEtQrarWMVQCB8tDC3DiNU+McqBztjh2Rn4XYU6KSS26K
HrVuj4zt7nmkGCh9VB0OtWD6RgbjtlvksJK0L7Kh02yVQx+YMaVXxLkW+0ZQfbMgJRDehvwwQ9l9
ipi6Uxc9yuFL5+jaKID0TqZ6sf3MAXWXuWR0Z/gVrXAV1tKk+a4EVRojJoEHkLBqp81l/oWiMs2S
RuiAFMwKFbl/RtmMvkFJ6S2tSdNFAe85elLR1klu7x5LPR3TRfgJDa67wS0Z7chMlifXTxOUnrTL
DmNPDxVmAro/KQfftoV5p2ZEucaOCbH5Pe4nCkDo+yYwB02IO8Efhbmz7I6yI5ESeBqTjEQsENxV
S5hogOlIdzrlUNWHGCFJL/W/LRRBrkgA8X8floFFnUmFlzB2rzKne530WJ0x0d+MedV8yqLurgEl
15tF3cTbK246u2q2QQjHwW5cuYfO0x/hhe0BrzyX4UTlejfX0VaVYXmqcFlt43qMNlHnFk9jM7Y3
gTdUe5NF8DDW0amcCv3k1LFPy54vNvRF609FXQ0rN5sCpvUV5Rg0Cm5qwbOZFtMIPywt6lZfluvG
rN0VkEzIZraZVxsGGf3tGOuXeqKdtTK661j0+bqYhi1MqH4zt1m9zbtxo6vRJwpazfueLPw6x+vU
zLV3FjN2YJEkyR0be/AxEaDtaQ7Bz5e2jxVyLJ+b1ECz98ptn5kfpZscusFqj3nHCNGLG3GwKxJn
TEZZhZEeDy0Aq31u0BYSQFSAjEqH6YRxq64N/xRUY7oRTDkPdv4Ir7PYqC4DvjjITalQBdjKZ1s/
CqKtSyJ2H/dBQt+9kax0IYl5yfDVKxC3a6zg5jC52xl2dlurp6ltCCX206k1umc/Ff1tjCDNpX0L
WiKNdmx8+En1LOzsjBH9IepZoahOveSj9xVlX3rwSawleFfNJHpESY1XhapPtfSuE2mdDTHjS6GH
7jrXBtUZAaK6GWT7cLD9j2r0gA8JouV0upc+0TfbVcXLbH8yist3vlBULAzMnEkVAnGUE7Cdokke
uyqh46opMUb5zy4yvqvUe1aHP8aKjnMrf3OEbKl9cDTFJhpDQBE/xSI4yKJ4HPz0rRTqWLcO7ahN
eWO7Ge9dACJ1637Ydj2MnDaFyCGMLt04kvkFpXN03JO+pjP4HiQjbbVp/JOxw9Edpg00f7omhIXf
rcdpl8bhARpIfymDSF6YkTdfbZ4HDM3kMQsNeprgbe36EDtiMYQ/M9vjYM5x/7ElkMvTeOHBU7zs
fkCIqndF4zAuL+ROB2Z+mrIcaSQcCHPGo6u2DmCudZz73aYZqWeCAUrzfFmeKZLA8FqO7FVqBOTF
XgNagSNCMyQZp3qDPQwfmI4qSHa4Yla+g6YyV3zfnFtpEzC8B9+NLo4NMt0V+kdfgGADiAqPnd1n
kQkcRyHP/DpaKg+C+3i2z3YavrRTeYPD3YG9zPeOr4gmBS/XxziewSs75ZNJTBzrqE2VQVq/phae
Cxrm6lVS/fQM54VxPJVnmjV7qhu+NJ0918LGlUbc8XlkGLqa8HAd9BBZB2cW1bYOcZnXqknfk75r
wSEiiHcMRE5eaYLmB86xoZiOva2nAYssIEzX5ZOa6QDOsL9IC8dOXNjVdrbz7tubYvuSVCO7O9fO
d5NpVjt4ixgGM/Nccmah79HxT7TbsjmiSFAKfatbDhiy9tVrXBtyX8ZE5BmxPKguqnZhrdayj24o
92wvjQLnPvLs2DpB6J6rQBC6xgOS7BOLYsZZwN/TC3aO/L9i969f7AxmSOfTnisSbW6jsA3W3uCO
j4BZOLqU4GwHPZi7qPKqj5EPdfI0OGXKicMV/of6IGKj27Pemje1onMqqrLyhPpZwnXd0uktziZm
t20EOuuc2b7z3MBhewYV8RWO9HlifOn3cW6bL3mft4fSSo2Huu71z4F7+xY/pgva06bbzIYgUrdx
vx+LMcZnGTQ3sluIJIxxNl4cw35VCZiSgd18yb6v8Z7w9K2NLqJ52bQSbsOGGd86txvsX11cd8em
AAuBr/NtUmwVIyZeoBrjEt+bNdGMzlao5Yi8D1IiteOEegUdojsQOZa0zLnuqQYl/4a3ZcOBifpv
fr47s7G6Y4hFFUq/HDaaDsXbxJQpu8WsPnle3C9lKncxg6h1X/CNY7EMDqKXNDYzSwG/PFDNLprk
7IxaH0E8bstgGHcBP3TOUoW+wg3Xb9NEs6+UdnEOFvmRFmbM4Jk1bPoZTaqee73vRuHui7yVV7zO
tO2SDEeYFJiGs8E/hX4QMnOBd2In7OY5gD0MjbB/ZGVqkdJu8WvbdMFmGNW8OQdLGocABuZPjuP6
PhgUBhBs6NAEjA6XXqb7K8NsnoSQL7wsRBwdHGMCP9uGPsFV40zTWoeM3MTYwB40IUjcCNNgNlRq
YPlFR9g4KAyLqSOwEppkuH2qqt7JuAqjHYc+56WLtAUQoqpf+pRlOlw4s36J5VzF8ILXtByVd8wq
yqea3pW1DuL6Pc1i+x5ugXkrFmJcPHE0XFH6qW8zEfxUYALvmcfhSDHsdlU4dbUewjldt5gaGDB1
3jVUdH1dVirbusGYHfsRzkqtQnerjKrYG0YMzhYY3MqmUpAKThjaK6kBfftWRUC9nH+QTjAPEcmS
V9KsoDrSVDPhcH96hPXZHNC1gUAAqaWw60tu0yCe9VNy7factPzApqRImXe4DXAEUQilDmNkx9dR
X6Zb6pSSK9H3SY73mYkqQPIu91ZOZ/d3U2o6n30KgOFk0CmLndkDoGC7s/dqlaOZbZ3BG+VWI2t/
V9xk3tqup7S+jqN2epzhfHvr3DR0uMVS1SJ1gzB5HVzZbY1p4KQ3t/MjxBUH92XO6jhlaKqzfABX
wzMz0NlHAQxml/rW4tUZo61Z0n9Hgks+hVl5lbX9jV9Y+pR7jlxVGWsHv9V8PoNSCLap59t8Cqzj
3SouqbNrSes+80L6Cbde9UrAyr5YVXGDXTzbpWXtXUuYh7vcGsAZp35bvuHDAEoqC0EEzaumDVmd
8GDJsH8a1DQ/QMNUjwnWd1xJgbkdDFp1zYUTOAGkydeQAvKDVVNLwksn3UbN4eyu2snimViYrL8A
230UbQrs1pG3WGS9aml5jI0UZ2wX7pQXMUufVBZusozFAKZzZ9COqJocNsNQv7sZiKnlO8kePZ4/
N13hd19YGuj8CTlM7jsutX/N+h1nu0To+1A2PL2ye5T4girXmE4E5perGhfFecBL7YDsI0/M+2lC
OqbmnqhUAFwqCQfiKCEPXnSEnYFZcqWzWu09YrB1ktbrzoW0Zxh0YI+ZJAQdqOwsoxRRXTXPnsJV
hSXPNjgg1O67y1HqQOWkWGsdttshILjtzW13z5ES0n5WQLYhLLHFqMW7auPXYWL1E7Ibt3RXm3tG
H59zI5wjpSsA/OfhuZvig8IzvmdSSy+pHxLVEGWzJTpJwXWH0S9P4KeXLc1xU5ypk+0n9y6+4S09
JafQgWW25m6xNi5TYeIfYXemMVP8HCtvwV+lRWGxB59ohYDsLhmF1u0VQMJu73kS4EykTf/TTftg
D8GzfmH8Ud+VftPeRwMASj/w0wtXnnMxo7ud1Wvvwl4OHBP0jV3Br29j9uKrjSMNIdMaL5LATrgy
gzz8yQyWHT7z8vqqtKM2XDk88/AbN57n7ajpoJBniBQw3AzPX/tNX581EksLZ6yAw4jsCFoj5plJ
H+wTa2knQUXmTLPkhLOYA0dIgwEG07pi001/TOQD454rrzi3MkufMreHGRH76rqJ3IFamEVxCRPj
x1TXS0yE/FEMGazphuZeYnfeF7VlXhiLePyvm4DxRcNET3qAkHcBe9kAEpGCfE9h9rYgDQR0jB7A
UoNHqZ2erod80zYpSQY73XICCte1rr+7WT8Bhg+eynGgn6Whgw7gdNkUAN7nVzySL4QG6FhrM7HQ
diAG0QJANQEOzylJTlHFTAhBBwhFYjzD6aDnMWF2ydgd82OMZZEAxaYo4iVxw6lLRTI9+GbAYbZ3
DAYvsbaP7GBBwiWAa+n2aVkVQYv5dcNoZwDIov2WErdmwA1EGwidEqgqxg2Br6namUbBHIeJRvyA
oU6CRu+qo6DTedsmcf3g9lNBoU3rWkCsiwaVmoEHnLO5E+1tY5cOCRXPdh/NqFYHnUUcImHH1NXG
Dh19MrC9tasJS+Mu8wGuqYixpjl47iufa961xEEXoUJWz/bcg5fmxJLfhmZULY2Tyv4kZ8im18BF
tYG1ZIk1k8X6iZI0HpZZv4yQMzu0vx3cKGyFfN/Yp2gILG/MS17kmHmv7RR71yhS1TnHInCP8Okd
XWHbT6aMohpYjxGn7KqdARp63gRvPW5uNjKws44mK5zJvW0mjNNchnadLPhtpX1Vqo1hOdaXUzr2
EyAt8zk005rKqhIHfRs0ELSVKZAYVEphiAqc7FMZ0jyG4zQSi5TJQ1IQ4dhksdGw7lTuj8lzvIus
0/wnVQwhE9MounRjtTSb2TQTNV1UvKcymE81LtUez0zAGCI3ODCtR+BTVFVW8iGopF+vq8Kx3ps6
Alyn255QqR+7t5kJiBezfxPdGrPDbDcmFRyHyTMowPa7KkX1jIgUvpBkqd4MfvtbA8/aGoYZViiX
neRhKpP5JYRC9kqtNz/NKQnbN6EN950psPMjb6Zm3dczFgIbdyxEFJ7OCw+/5BY51YbjsKRU1FkS
rvwWs49ZlrnNujQdh7iwT4h1AuX5bMgiPtqjOZ31MARvqUXTvOk1EOumpVebMbOLjtFSYFLp8H1m
yMIPAPbJm0+QC6JV5bKpnnPCmGwAgRkCvtpFvXxk8Sq/+rKrbmlWMfeIDTiPpIQbxzaPSu7M+JEw
7oHbhI2C2Y0Zbnoryvd9lKWQG6Ef0/ZCN55d1cUtclnLKS9i3gWZj01JKYr6YYIyGBBPyYliYUwD
BCma9CzaIT86w+Qfx5C4dOJUNQ0VCcJgBT1SrVP6bWeal5Iczvtgmps2K6ozDwzoj07CN4dLX1d7
jsk0T/RCcYquCjznW7jGGftsSPYfVqqHOwbWw61phuqB7vQFo9rl59Iss9NMZe934Ej/HLZ1fR0R
XzfWwurtb9m11VcmsiUp0lfdW4n15DXVuvFWue1pd+MnCmrmNNDYjZ3QdkH8EnWLEUgfGwluceVX
1Kms4L6a94ZunWeMZ8UnlL1nyraBcTfsSPqppnfZyyMS4bZU2e3cDdN70QSxt9bMTjv2UxAJPUbv
M30FjPVk0DfFjmMAFxl4DxsMw61n85TGlLpsyMQRAdfUv9xQryOrjUR15RkRlYAJwTRcxSnrF5gM
csTDTNEMLvW+yEEhs9gANESIrn3DPPfKoQGUW0LcmN0/yFlgzdbS9aL3TkMJJ3favDpktdNNQZvH
sYfqdR/zRfk7x2+cJwIoetqahfI+2Ro5AKGSYvpIo3JguJKTqDlQfGizkRIN8WTu5rTZh5BMeEDo
htIALyjdHx2OVaDGbPmvotAentx2WdkCF2rVbDC1N0orOEXe9FPrjISXx0VZcbTmd8IeiU+AmGAR
iwFMYi5z7BEdx3sDzZV/6mgIGVm2koKhCauIZV3LlhEma4FDOtl2sAcT6ptGAeNdI3jY/MGj1fZ9
R6bWscptHdkFSoflVe3WiRNGZ40F3L9x8qPnJAv/MmpNi45OutXoz1EfegLDtR4dcoo90s10lWUG
OEBCUa+zQnVAxODwVuiwyA4UT9qfYIjNq0k7JQfcebL2U09/lZ1BKM1hLe7cHBGIW7I8YjNEKPMQ
027dgHEmGmTHatKEzcdMQwRbPIBhL6kXF5uhZzdRxfW33ZMnkKRvKBqwg9thtmEE87GbE8EQfZ6m
ztig1XLGn7IdFmdjZaD27TnbUPnFqbn+Vn5PVRZE5+Q29uUFf2pCya+KHuOiIIUuGoNy7sKK+x26
fbwrG+ddkpS6N9zU+TDIja6sconKW9VnJ+30iULj3DzMQxUw/HXUa8Bqfm1ElXWT15VxHxnir4wY
/2l5CUwHFxQL9wK+cBajxm8cC3FmenUdK3850yOecmK+9SjSueTUC7Jus1W99JaRPlF+x1L654YJ
54/sElhQUEGJdWG8+cVMNAvDJeQ0+vvJjdpL4Nb60GPj3LMkMkYdSKcA7GZphcTXfw4zS4ruumJX
93C8Or7Z/8PemSzHjaTZ+lWu9R5pGB3wRW8iEBNnBilS1AZGipJjHt0xPX1/ocq6tzK7u7Jrc1e9
yzSJIhUC3P/hnO8ULVT6KKoYdrZ2toUBPpDZLbw9SZxYpGhPHmo1oTB1KxECe8OodOyF31xNfr7e
Eol0N7gjq4qA2aCHUotI5qlYOVeogLnrS4vBduEeKoBBKHPJoBUJZ5npEZ/aU/A8G5qDYFqcBxxz
3/O6gVgfjvqIqRCRV1PjPacZQyo1R95ffHTuf5YRSsnMFhcK/gCWwX8SsVU8Snx8PtU6Gkr6BvvB
98G+bQ2++dpBsjQtaDM8yd7dWcxynQ1m2ctyRxVw0RhMbgzhToZbAs8wGZpK7HIJzcMmS3jbzBYk
V0O/WxYUwF6eHzH7hH8hzPnFWv6j2kpK/A7Sv9Bd0OdclHP/8Ohl3CXtKHt5sPs2p8WR41puo3VO
r1dLn515FPHI5bxdUIJfObZtfrDxMqfevqj1GLgFTg0mdJhsxh7oNv7i2fxPUjB+OF9EPJchxow/
iwQVMzzhYFk6FA6DKlaRBJTb4A3/4ts48r/4PtJH8cgrwNH+C/X0Dx9Cy8LYH5JWHlh/LgXXd2gd
p6k38TyXlwgNzYSgIGSyRiQN5GkUZ2yaA9H0U1dco9mR9yXAPGQzvCxtQDAL9mW48EWyWjs/s59b
XQwv//yjcf4saeS8tp0AgzBnUMTs508yza7sVgYSPHvj4HIorG6NHt5mOJgnCPeZ+/svsrhv7Kx5
K1emZ+x/MHeMZXq1QMuMETMsn0FO8uevn+t/2UzPS/vj3//t/bPK6jgbdJ991/8otv7lQYLi9g//
ivG7fv8/P2qd6eXuveKLn8HRmf79v/6y32XaLi4kdLdQlRgp0I5zFaC+AN0und+cgAeU14FfB1XJ
JfJ3dLv/G4ej4P3gS9BiXCSVA3GD6b//m4vhCfQXbzeLNzuysbb8SZb9z2TaSEz/+KZENnI6AIM2
uwLyKaG5/fG4IBjPgjbqmKOf+GxfC9QQ1hQdKyq3jSPnr5FA0jXO6WXBxJAPPvuP2XVfSXz+CgDA
htVJgljQTZ+gaent6Qt2ehYmtizsxbPu6qeitYdrxkH5pqF/JF6bhpb9/6PAZRkTiZUe6wFJNE0h
G87C3QwZwFccjF8b2XbAA5Zz49s/KvpTZ7kAqFUwbGuJ6mUtLDzy3h1jC5d+2+q+MaJVm0CM81Ev
CxvSAH3TplHjt2woj9ba3PRljvpITyiWKqEelJVIrOnskOyOVZmD6AJkQwgePffp+CwCltM6CWfg
zT7EB7tcXhKpnu2seJ/S/mthc5ttRr2stxZjxl0+E2elG9A9qVmwErm+OVdLTpZ94d+0wplPbkGW
3UozB8NHsr3tCBCSzO6WmZSkwDE/HezZw0KImdN74SO1IqaTNt2l3VAcliGoSIvp6tuQ/OQtEIHk
w+uUdRR+H16xg21jbO206pNENtg7kA9LAoO0WL71s0xZnSEpbqdxwPhc8l+1134YIa3bRIz2SU7s
lDM95fFaBv4ty3yzD6rmR+4wPLMY9d33qPj3kyKW3tAeoiptIsh3xMYVaW3IxO76qw58xjka1k9s
7uyvi7m7n0pTfPWa5asfEZo2FeyAB8nFVA32jd8VBhsQBfG6MIkrRsjANXDe8Fc0aYlJmjk1k+CS
Km9yIBiNlX3VhAx6+V3l0W779DqDMpwJ8RwyH0IOSUYku5DseUAuEWNULXZDV6jbvFPledIpobfV
WGzXAhrvlKWsXlv/S8i6bxeyqLyl9HjleZU/ZrvWOxtLPqssohArzfBvbIfnxCK7dQHwg8hsY6/D
S849BviZAd9QI+SaLf+tZPp9zPVwJuRk3hUX7KTIvWFfmUa/2MzVeUSjMzzm53XOH4BO8czyvm9H
FKVsr+ld0PDZ8jDPF+Zp7l34p9WqGWoml920Wvr24cKz2jmBZcXsFct7ObjlrvHVdKoyNq2CZ/Be
6YEBJmynoypYLJZpynEmh8Oq21tjk16zjUp89zgJ8zNe/ujgIkaEXDC8OCRxPVWyUlcTpsyjo4ln
0b744hDWQn/P+rLMi2zLP9W4Q/81akQcCJGksZI3uGDjLinc7ob4bHW1LpPoNoQT+GD1g96NTdL/
aFrmeqoBLypmUq5E5c+Par5gFWe/2M1otdiIiyvB3PXe7hNkWAnZCEJO2ePksBFaAB7e2/CDDQ0q
9vuFmG+N10lMIeIVGwD0htS9x6TQZORaDEXYyDR7bct2aw9JuB0FEA/0ITRlyNrQa6ZBXdJKYaYD
GSKgC1jmdRmk+GKUCY/IWVhK2SHkMZslfzDaYKr9kCCjsFuuuzDIvsis7W5U0wlvkwarey5XsM2A
KtiL08a84rl8tVOCZRuxbNSg6mM7zA+tZrY7ts54ziZmqBaoUMBzo2CoTlboVQSGJUS5/EHo4fRj
ZJ14H7bedCUXMR010adbPyHXyQpLUpdWhd+ibO+sPrpmMe/GGMi0siVyuIpR2uI1lyzMayS8Lm8u
xSeJWewO2jENr334uLRpSXuTODq/T6mn4OeaGyOy8VD5unutbYN9ran6O90tBkZGb8eGXKtdNbC0
H/M1/zJKfoxLeXwmA+RxpmaK3QjgDEG5GCdz88g9ZF2gcN0eT4L6QC2+Hp3SelZzZ7OxvqQaurW+
b4ooiKOI5EKvRgtQu9nNHKXFGU9d80gUHVwEklc3vRMCmAeZi187umhVnIXgWwxRJyuwTKytLqAU
jyqq4KK/mS3dbCwmBhsCZ21U1x6ncBb8cIhgjSWo9q0vJX598T1zI2SvOQxrXw4gn4GrIDjPJ3R1
w7qDA8LxkrCKaurkxYb9+7efwS3Z3KqMhWCjQQpEI29zGbiIvJNV3hZFyqKN3as/MDVV04elTIVV
GB7Gs9tGPwOmVdDbLka/YzSRnILN+Z5NqdzMQOytOAeOd3an1OyB2pFJYeVnKA/tLQTY/KUl5AWZ
aDDtiNB6qWpxCKyJtTl3AiEElnxbVybT7J0/m5kHSgwIbjq6jnxeprgu7bt1XG8r2S0Me0X+hTrJ
PRnLYrV5+ZfGMpjsPfTaiFU4erSsP2t3/TBh820MCX7dWKvHqN8NAbsPRIUERZ1dzYl6yNKuv0Ux
OG2U5z5mjvC2S0LkOGAglxwQggEINIL2nIfecRiL/lmxw4hXYtkhxOjq6M3Nu21xCgmIS4mb7IQO
Phasy5MffFaG0jjRFzWbF3z+b7n7q2L963KXnsxnVvDf2xLjH2X6Z5/+71/0u08/pNi9dJ+wLu1f
rvu/F7uQStn/eVKGhARRuUbUmX8vdiNQpSw4kFjjgbL/ACSNfvNxfWCtFx4VNGbCf6XYlX+2x9iQ
9l3pQ+/F+ARn7U+DkawO2oofrztkfboSBzrhGjGjmr6mox7vvXl6NlZvnWsPYSaq8bSFhU71GzDo
Qus75eVbhQLhndDG7JQU0uxq+DRbxJPIIH1gcYykg8dZAP3lj083Qz61D4pclR85ZNDJDALKi7R2
HRdULBoI662ckmc03g24fWd49Rq/eocKV8SWC7hwSIri4YLyKBpYbCXV6UW7O714uQAwiXYLeaw0
F+dH8wTY4+ts5UhdJ4QQddFRolgW0C9oi8iiXCwUAzG4Zume7IpXNr34NjwAcecWuDeEGN09+ZVv
7QbFiFuh0dhEvQ6OWVIQUWvL6dVd5uBI2HP5UxL9djMy8v2IcP1vomXQH4al5nNOqOSBEDsxbkAC
ytgfvTCL82omDw0PovOtyIl3Fj47fruLcIGR/IiyejUkskCLmr95cPNbaPMXqWfnj/Zb44QE1Cbt
xMRbOfAt+zG4DTRpp+ihCuCwVjlcp53DzNuL1nZkY94giv/fI+F/ciTwsvgMyP778+D8nr8POn2v
/7EB/v2rfj8Qot8It8DVyEQNu+H/a36F/A1cROiKwMb3iGWOacjv54Fn/4aTF24HdrrL23/5pb83
v95vrKVgegSA6iPHDoJ/5TxgJPrH5td3XNLRiMUhlhqACGfWH5vfxubhry2N8oF7pjxYCS3VLZc5
vg8E1OJUE8LCEnsemZ7K/CKk7IS71jEpF9Xd0Esq98pVEQqZgumoN3s3opNUxlALmXqGZOgSMAjh
km0T8HJzI6t5b8LcGxE/hJM+LL3HSmVke7dTint7azIfp1g/9X0M2kGcUuo/Yr1NVbUHseTF20pY
LB5i0l8Q2yKY7lmnV3R0dp0oCqVR0BF2ZC+xsDjMgOYfViZttx3pVbuKRc9Wgiretahtz6Pbdt9H
1FHvSz0Tf26Xifio2Lcx9VIK0aJr8goIFZltexZuCi5xSMxXVOluw46VfWyLuAQD4FjNTwNzxEO2
UODf2GFn3palpbhcl/kNJR697VTb7V22DNSNFdK7cSNqvYZYbFzynUtteSsx0DjG2V+Qq7EZaV4H
NvnIlYAodQhd6IuR3DieerfriEIja2gYd1OBMpGTou/vhO8EbxEpNcQyU0OxCJUwe4bBYyk9VqNZ
YyuUo3cdjctQ06uROHNqnLrf+hdGHOcfNhWihAf+ArCHWjLs+gqaRZ1/eNoUN2vutw+wdv3P1HHm
L9IEWBwMLCw8qnNXEwe5EuHstdO8S7AEvFRDzQ5zjRqS5wIToqNeOpJIya4MXlKkgi9d1xYK3Y/M
JBxdvzk7AlHMjp9gfhknXT7UqBwfC2fIWewueJtS+qmDZ8/qa06vFDioXoD1xlltZi+OQrO+Go2e
8Uo4k2Ntify1nL2x0oXgE3/M34NhJI9KNoXyrh2U5IQe9HbNv5kzYi5iNPk8dGPe75JILGgA/Bzy
SAsAKkGVFDLRwPII5E0IOJCmnOa3XOjoJs+kxIoiUcXsRp1ULQ/s4iZgzcSE7bTPau8wVU2P63yC
n7nTXcVNajcW2tVcmhtkze4jNNaIPKwBsl+R8l0tBBzVViLTfUhy7ZXnWQEJMRLMSNYJ78FJV00j
Qz91KAeYFVgQohodtCmuw9DCleY0FPKttsPYqYFX7nvjsf9NFoRI9uwhIg9qquW6EW+SjLJoUzkZ
zs7GWMgSQP1Jin1cFntGKf0JLbvO9wBEzd6mJ4JqAzljYcSi1ZlVATd/l+byqz1l3SsiyuhDjJF/
HU4je2vb4g/PJ+bPZOq9mjGjZWs8dr6Ldvx32kZQwBgaGkHrSXjORs6lue/qFR12YYx/RVjYJQ6v
hMHIHqU1X4MmHT7SXKEMK+H9lYeecyDfu8VqvCPmriXAb2XznRN79AwGFFh1112rJswaWci9mHoS
dMnMKo9Mj8AoCNkFfSXkbahYy8oGMWYI0OutjGCObBqACMiCbL1gckTpDiyEB/a98a3sncAOC7uY
TMtP+K2IiaXybmrecLal9pB+74Vo7sKwDQ6zba9YRukmIYx7JPPR/NxHSyj863kVWX+nwMZ9s9ba
oyXC3MpcSd5ETq6+8ERhBaskT2Xdr82ey4T8D7OUd8ij7Gnb2yDhseUr9xA4upa7IBy/570/H0I1
dMi5Frb16VwwBcgdA4pQO6O4UUTYPXHYBNVzgR7sPcqt6A7LJkQlETLDGlRbfM0gqBiAbeSVMPar
rNfOng1ZVdL+aQilxZiZt8h5OnIUww3vNxkRbvOJrkACyuwyF6WDcylQfIoyvTHUXARmj3TLB7/u
ec1oY8hR1vXqubd9uOhjmDTBc5Q4pRM7k4H7Caww9odB17shb9JrL8i+KZLZcExkwArd1ryjxWyf
zDT6rGswzwZzYD35HGfVdvK7EONqQZDvRsnS3ZllHd8DSfl4zGagAtC9XXypcDCgl+vgFLJ8+Krx
NjBUaqZo57ReU+Po0372ZPsVInIEv9lLNwjSCU0alYi2pHcqZpdGtvBXlKPuZDufMInDe6y63jfL
GqsHF2/ZngwW81IqjCcPVQoQnh8ePhuShKn+lpfVfKSKnj12hG32KYxIt2nWN9HOWjtI1+NYTuGz
YkMMOihzqxitWPct6JHYITIZ+vSi2DFbzMVAdrI5CQD2IFLblYRitZsAURHT6TV5MP1Ixh2SPeBT
kQ45tXyLyLGBPpmLu0iONrGGe5dpDaOAZHoqZDhf4zlzj8qM6XNDnt6mdZh3tUkUoArW5g3dzUQJ
XjWkI5MCjgDp8h5i6yjDGoYn2ZC6E2fksnOMFeSVMTQvpgLdSp5hRIRmkBA0hdsLs5b/SfIbOrRU
EnoYoLPXY4ukdMnQSWvoPV34I5izD6186+BkGH50oljPGvDT9Nxq9l/JPOuiHYM1nto0GCRZyY0/
eSdfBFj3wNfm7WnyE2BMgdWwUfUIFQYkDygIe3pYmnU/9xHS4TmNPpumI/LQdbTzkqLYWDetjZvn
OBVlNN+tPD6fiRArKuaRUsdPy0pfsIzNja9zcPDSzo+Fyq0duWRsdVNaFzPrKA55IQb2+1l+anRp
79I8D89F4JQM1JIyTkaJpDfK3J/ExOo30nGGeF6X4cPqmF2BCfWzeLJzUs/8IBF3bNMFu82pdiCC
sw7b2H1diJslbyzrC6KJkqHjNGZMvQrT1bHbZeN610VgGnYVDwyp8WCXlosLwXN2Y6/mU5tZGCcd
QiG2JXvJZtc4xvvKZKPIT3L1hh9Rl+CEEuXEs4Na7lQhpfG2nAhjuEc4Fd2va+ktmxVN+u20tiw2
tYseXTsm/ajawbsK+p6RfzKm+qN1taBQkc3yzXZDnceLr5GskOSAttswNQoPgBErAMK2oQ5VomSS
uATIEQs+5Vunh36GF9ZjyufO4qpA27FtXfLPCER1hxeKKDbqBWyT70O39F8ZPKdXZRVEKQO1yM02
XErzneol0Qel7G0krkiXHcSgTn5vCLMheFEEOm6Fla6xU+he3IBTrE5B70SM/znscJD2l9tvDTuk
JjPSgo1bVuttUPKabskxi+KKSMnHCcLNiyc81N4B3qtTZIXhV0Tjhu03xHiM0a1q4ki5aHpMxh95
A+udlMPeSdTtnA892RzIud7ZXXWPblsJvLU9E/XEFRqf2rgCFKiMy3MyBpK/M9YXez8OedzDMoXO
lmYEBVOYPgYqmK5RZLnDNkkdMjc5xoOXYqIq5shIl5Z0CvrmXZT6UfWK1LP54faVm50L5sv8lulS
HeVpu7YQ83X5TqGQnJdxXtRN1LZYM7EHLAjKHAkSvagyssxgOrjkn4/+oqGNp/qlSHwHeD139L1p
luQaX8G44xXof1QmcM5TMeI5RhZePqbrbH1xO5gE7jgHB3eU8geie/vLYkXTdRQE1ttiJxaUiy5f
H6cmN2+cv5QLfqddf1tFA0rpGj/EZqrs6GTXRJc22YLizXDHvLJXajWSe0a/HAJ2Xhwa2NpoiKVX
4p72dFtSKdsw3G0Y+njqyHfr8YVGFVN5rPkbTPzeKRtcUQJ3AmILXpTbDYF62i2HBOB9drVqUVwH
xl/AsvgOqqEsL7EwGVnKnyPKsO8D6bLdtpxM7e4GeqkXSEkERIt0mnvnYKdNZm15elNwdKz4sDZb
OcS8AHc7nivoo9J6b5DMHReCzKMmluytchz5BH3N23Wk3YmZNjXRV5DfTnQOGuqSA9mrbutvitkJ
Qhbr5j1g8HxZuOX7SSOg13MZ7pTrN9Zhrn1x8nifeDBXK6puUqHbeWs8xhp3OD0pWPE8RhsIXM82
9816VSRL8lhIaoIHmBNrjYx6lcq9KX1yMw4pM162DJEyO+zGTLxYyI1oHTdljQ4swwfadd1tujaU
R22TGWJuHESndzr3auh7zjCm9xEOZ3EvsiSZjvkA8nseg/pRE+1q3YBmytvnBZLuemCeG3h7Mo7T
7EQ8QJZ/hVTdV8egT9DEtQUzm2/VutjvEr+SQHeGU/ZbIVSdbMJZOSFFEmwIxb/75PYYRgkx27s9
oYpbx0V/msZqce1vnhgHvcU0Rtxnl0BfSrJgkTdc3910LAhCvPIXPBg7NxicI4l8xUErTS1BXvP8
lNa6qk5LRl70PgWmjRHWNyq/bfxwCrcr/BINS9Id9p2Vjlas1SQOC7ux5MrDxWog6kTcXbj9QRPW
6MA69HTaRaTBzVAVO4sE1uFtvkgs225eSAD1GGVuLQCMa8WmSEftFSpNVkdYlFiP6aAK0xcuKTGc
/FnXlDn2NN3AaAc4hkyJvdwXBH1+/oH+eGweldFLXIsWfTk4cJRJ9iDGh7yTaGcp7phvLyR6xAN/
HbYFaDPYdigo69cpsZTljo1WyAabZIN96PYdkt2oJ3iyKt5kDvSccWCrHlK4BN8rtjzfkOwCfy7t
9SEf1DkfO3iQfQbqjON7Kt2L4Jc18yzaNM4S8iddXXFN1amV/CQ8x3JPGBPpjBgxXNbfZbp8X1Tv
eadhckCGF/Y4XHXdaJ5A3IitEfh/aC/JFxq9zvI3k1+ejYJaE9dyKK4V4YcuVUtCakwSLbB2ycse
P4YwMgAA0CwIbqGeFftCKwxXZuiVwCOyqJeBKT//HqQEB5syU4CBsSa6t4Q94Rbhq7GLEj1EGmrH
grtGb5vOzlb3eMNnVYefHUc/YIrOHb4MhMHweuVt/15Zoj5ZA7KyUoTJTdiWg9nqanXEBq1AX8Zr
FQAyLJV3JvfBP2QtpJ2clIT1w3P4OMQkLpSRWT/zycsjE1+br2+Ist5N63BqGaG+qwG0IvZl/Qrc
UecHhwX41eg54QkUyEJSVYRTVxUj/teiryK4Tw0QKzSRQWtjac6t8k4aQ/DO6kHu3lv8xV46Vcjr
SKxIQOeCFIhNHSVgB1qa/XjoE9HFOsjSHhZ0bo/xBISUE7uT4m98pf9v+p7LN/r+9yg2tCe/f+OL
VuYP/7P7NXJ8xGS0nH8MpvxbbBt0wcvv/J/+4u/qm7/YZfiXzMV/Nri8fU/f+/ch1X/U7vz+dX8b
XUb2b1Cn8GMIImJhXV02Fn8T7oTub/AXkMY5oNp+rSz+7+wSdY7N0FJEYIXB4P2S2/w+u3SC3wTy
LlByHDSsMxDm/QvCHWadfx5e/pqaggH2PAaXoHv+pFV0zRLN2rXmHQcNdksBHJvrYMAXv6b+T1Vo
eXkNEKnGMxrAngH6SIito2znWlpEAu2iMKevr4eg+Vqx6JB3o7Evv6Me3O9eB5YkzlaP5FHfrjZ9
iIuWqYMikzux8rJ9DPoseyV8PlNP9uJPzWNHIOQQZ3mmiy326GnETChg9eNpYJxJ5UTspcbOUWy4
NsCfAu5GUyPdikefbpudZBPU6qHWyvnp5I2PnAbe2haJiDx1XHBnF9cGGIaCuz12Ug5ZrNYMB+8Z
s043Nj7LkWgEe+Av0E9XWttBFPdBMyZ3SbWE3K9RZhfnqHC/kqiC6JlcXvgVXehmOYZMFvNzRue5
Wefez6Hle85FZTIQBO8Ws+rjZhxIP+hUnj77kUU4ad+Dc48Xt2ckRnGY5feDZ2Nszmb3i+gG78ay
vUXt1yEaER9Faiqu+rmljxRqYKosWMa1G1QG5bCBZOg/utoplm1rs90mPiKNdY6fYcJOAnGE7oqa
P32cHdW+DY71Peg1TQ9UqAtzSlbBDnXEAPrBiGgjycl65U8jUn1U/UOCBxgiStlOGLjolSCn2Mo/
F4tY1W2tEqKEBbg4ts3W4AGpW1bChqaG2PlLpRqst74OewsxvNMKROUk7h37QOavfbTiITbY5sfb
pJ8XuQ24JtnuTm7wUM+zM20zwubrG0Q5TbFBIMBkqkHvcAy0xHYyLFkhT7ZP1s016LYMtr7wDPUw
TJ6jO0f6EmjS4ItXK4PZWI8e1SxAkCzZA9sYS2xCzbDs0kq6zi4NW0EImGrn5yFNrfKYz57/0Yqk
+1KlDeF8qu8/myFx5iueOsLbQQwuPZ2fRiMSOFBn0t6GLFMOmoEyQky4VVaEiYdQZXGV5zYJV9Ix
8zF1TFTtUsK44SPgel+2S6+aKxJI2D5lbV8Qf5Wlj30WPgAzFrgVzIx6JumskzJOehVNU2hjRa3a
1wgP9Nky6fBtRdNxLYPiODYu4/WCb+0+Jey6mMGVVDXPGM5p9RzytLqtsdvlicnq+gnZaL0dA7uf
tqB0Uue+NyoE3NYU7iXOnn3YcbUV3u1c9vo4+03RxWi+qzfNcOVe5iF5bb1sifBOmO4R4BbgL+mW
lALZdit0O5EVeXqHwTSgua/TIG7VReWXLyRBXBuPMwHTXeXf9mDyiFhMmwWlf15l3+hs3XkXLlAg
hKPI/3JachTjhqAXmmc7ebHWMjmsIVKsam7qz7K1oHX1abZXiT+/4j+ttt2QR/Bcu756W0pCSDct
hL57qHrM7P2KxEiK7mfch+CTyVrnLCjljM3H9x7IHWfrSS+TH81IOFCdOWW14RZ1q2PHzPCLUxXD
NSne6ltQuKncrVoTYVDMWUjCjZeOyUEu3bQ3LjvOubUuSShAWtgu2s5l31Bi7WX/fSKnikWlj2OY
oY64aEaSUBB8HaQ9RSpIzy0a9fXFEAf/nUSOUe7H0pvVAa4ZJqOqCNU2LKdxR0zIdJd2jYWj32XL
OwL9mZ7aKUtQEgbL7MdpWbPkgbTWOVfCTdqrUbSlOcyLhxBvWG28MniNBcK2hGd1G9jdgH99IWxv
dJutDDFmOioJ6y9RPlg2AUa8KIzbiYVIrCYILl4SEX2vrMWjLlu9Q9DDb63TV7J97Q9tyosmBQ+Z
nxX9Xpq0i9MhElCM8GPEDcwDe+urrEOIOAS8o7BMOfYLou26ZZH1M+W6x2aa4Pfd6JOdU6GyelZL
wScq3Ckcd2ARs2lX+nn+iECewtjY6EI3Ecx/65oxe/6O3bQZjyqzTXHrewlUcsWRg4nLq3YtMCYK
aAwED0lWqGcn4piLRzU7mvMik2A5gguPRAa1lW/I9pm+yGXtVs4rJ8MWzief7dbWF4/l3FnYa5aa
PL8MZCI2xWXkBwF71p6zzsV9zdnQMKJsM6LNUhjz7imLXL/ko8jEDlMdmUFOCGqfCBks+Ym/Inqq
HXWa56bNtswo5HCE49gne90FktlnztQT6Nhrbfrm0Rp1RjnYZev3wrfKftOAvw24H8ylwa1wym1H
k68Mbf2iOA5ByQgmI2eR3DKxuv4GLhsfAruQjT1hln4YCnZwO9aM3nvUUUhuo7qmR2yi4Zbl5+Tj
ap4LMukKjlZpUDBvxlBVd7NosrMXpePLtDTyqlgUgQK2Za3nnGkCmh4UPONtIdflmbFq1MdTzv5r
o4q+a4+of0k9m/A6kmnq3EF4CTAGWRPrr2Ytpg4PpVoZ+WDmQ4kG8OHeX1AjHeHDtfJhiQQ2S2sK
01vL6+WbCJbgETn/defl2YwftjqbSmbXZN7pNE5qOHEeh1zMYNcCqwdoIzLzR96W4zZrL+Mxeyg8
BsYVyxeF/fFVZ8b7ObTkhaU+IqPCWh28Gd1YnOyZnokzRl3wP/kTvR4OmMnkKl56FhHwOrMz6tvw
yulC2z2MHtySSglMS2XOasRRCsZ/gvDDrAzdmcSk7jbsAmwOYbKSMrcmWHCVK85+aVXFtxRdJQyG
Ard3k67HubIxabXy0lC2k+cgIOtRUyjG8YAeXH3ABT5dg9NXrLHoX3d1mC3hjuY+vBs7C34gkSmf
/iTSt3RYnrHJ4sN0c/SfQGj7Zp/NrQ8QUuCLJV0CslPPWQRWxlvhyUOdEx802i0oOiie1tWY5yfH
X5g89Un06Lv0zEGROc+Q3tpvgcO4985jRfiT3Xo9URsUbnUvdEq3leaTJfaBy7LZXaK2wnMO1+7Y
+MX8oVizfBLdlo0vTQIz9yAaPFpd4Nn940RIVbhzsWXKKx/Hub4hQomPUSnJOsTH1fLpKcYslDdu
Op4goKKWtSjnkLaCapBXde2NT50drWNMy1s9TXJovFMzi2o9e313Hoe2aBjCduOy8TAjPS6hV9tb
b01vHT1nR2YXhDWkc6+BQnJl6VJXJFf4aEe3LgQ8aKWR0A/Z2qcnpjjRVQ2R6pjICZGq7zNZr/SE
d3vGXJs0LZ4g1Nfc5dQgn73vzV8CgHo7E+IRgkXpUkU30YtFUiQjugX7/CliD1KzjNeyPXDQyucl
y/1PM3ZMOBVqvntWoN2LwcACpGaZnCsPy+vN4Dbk8JWdcl5d23deBLXa3aADdZDlSA4Bok1RHYJK
+OXOdmfid5eWBYNXtP53LkgG76GIwNdElveqk+Hd7TuUwfNYMipUbtH+bIuOFNosaC38AOlFdZkg
UCA6YalpYY16npBsttRu5Dfb1ItPU1fOQcST3LlfVzZRW9mt5fRd+8hrfaKeYyehiacmf3fY/21x
8D3lhYtw0/U4+ZkPEWfXoX4U7GQYx98UTlkse7gcJr/LmtG7pH9ZYb6xoJCg3W3ZSe35L+YNNndJ
uoVyF6k9Btp2P4SdN18b3Jhst9kVbzNXuU+MvJwsRpyv4OAW7ZlMDHXm2V+PaCFhbxQR13xcr8aQ
dZxBrxi89touB2/vWlQFWen/uLgpBhT0PXrfHtDrCTbBkr7iv0+xhLuQnDYVhAIqBs92bluvA6Ax
zbFVgYeajcl2nUjnK9AgzY5JIP7tYfxWGJbIe2SmBSl0ZYil2UuDgNRIqc+TlaxQ7d3sa8tnC8Br
7outR9pkc8wsaQnIHP5/sHcmy5EjWZb9lf4BhGAeNr0w2GycZ3IDIZ10KOZJASjw9X2AyMyqqGpJ
qdyU1KKWLh70MJJmiqfv3ntukux0V1iozYOmvQvp9to51WqaW3ur8J5HnMXsIlLbsEKC69Uv1GqS
DREP2pvYXi5nQMEz3C5BQCn0pKJ8XyVByq/Qmd+tRIwfJq/C3aajoN7V5+dNTtqqu4NtteoDE5vU
uY5l9i1dgZgJsNnDxJ0HhvW+FefIqtQPxBbCpZOXn9juz8lxCCr7mkuDH53Rp8yvFKbKlqanwtky
ZOAPEVjrWsz6Sn0oc4rqjVnCoOe3GCGZI1qH0HQRTLwMuNSODzOL6RHk6xcfX/eqy0hbbgRycsLY
UcZHnCx5vR2Ad456Q3Bxipzi1tQZhnYR/CXjTDQ6cvfciHVrG9PKxq2K640bcsllpWpn5ocjeYCF
AEm4v9qUP2It73PAkxH40ekZq7phHzWUnHSfdKX4HprWOQ2iN94h6PnbTjjtMas55mfTYq3qTC5n
Dfa9XQtnBr3EJyRjFlzTw4kUJAFq0+0+bK2JbmNA4gfXaMVLi43AZ/9aA26JUhSWuZUV67sKPua2
A8ZFQ3Ncuju/UAFSzRinDJQmGdfQEaW69WvWnWEsk+A7CaAxWV38LIKgBY6cktCuKNLirTsjaXkJ
Ija82/PUGePGt5vyVKukvvOGRt/W6Pvtjmdznu+oa+we2ogOTORMb8KSknS/Usm6fE+USbZU5Zbo
DIaQ35DYh1vVphVtraaOOu1UcbxoWKyibTniBeL38BtdYn4YBA94plH3yu6Fe49MZNMOG43X1TBf
8Dc5tFs77KXCphiOme3+6vAV3LHDxj5vliOdwtySUFAOXYrlexxc63WexTdvN8XPOKFjxk2+8wFR
q4usYpsnsOKKlAlZGe6NTdHSuXA6XtBQ1Xc+j+F9Itv4g5kCKgeHn/toZ5+6SSUwleS4kVVpbTFA
lTvDrpxTht/pMcKDcmh9Wns5OOl57SzEW9aYfa4Zx0hv7ZNVZ8e59EFouD2Yi1rV5T6ln/yxNQy4
0LOvfwWktC+QmsY1HL+1Ixg8+0BOujrmCxVyxyE5/pp7F3tHSV0BeB7HP1PCxNDFojTNw2HUmk8n
c6kRmt3GuZp6qz1Wipk+Q5Y7pGk9HmsiSbxN6uxu9K3pBtg1EEhQCtPVqAamQn+U88+UwitlYbQ0
+dmF/8TmF8UVenTodqXNnZgOu7HO9K3JJP+Ta6o9tLJZHyZvTdD19M1VTn/duRyi0k2rNKwplIoO
RRXER2lMBxpDskMpBWhYq2b5kbm1fGbcbVhQTB0J9/XOAT1z23RO9tu3RIAiWdHOPaXzO6ha96Gs
JsAUuki7sDHtqaMxqTfCxOG4ZHNzcKr8NJoQJkVu0ECY2ejnmfLBMjhVybCjFfbeIqSAJi6dqyHn
ftp7dvM2tvrFM4ifUT7gOQ95YMsjkDR1n+s2iyNdFEShyuytATD3Bs8d1nOPKW20RmNnl5O5r51l
fUYNRg2VAxfe5NyJxnFxrACiqXVz01hTj+vdA68XjyH+DfsyOabBIBXMW9Oh/bI0JVvzdkiu2i6m
IpGH8Z5AH+OdGxdXHFQQR2fpv5IQq8Eutg1lghZar2nEqEKY3xA4B/XkulBxx64iEdEEvXPrxxgj
AX660/WYaxij+nbaVFYJMlDG0MDnuDYvykhruWObdqKmr3vXUl9/ctxGEvGjwfZ5RrwPzTizXhuV
6gcP4By/VQi3Nf2TwCZiSTwgTymXVSNjyCgAyDmOw5wzZ94X5UefrsY3oiqDfYGci59h8qID50P1
0CD3MQ5F2k1u4XCwo/FVpjxYezy/SJeirg4YX4YwzXFdV7l3UzsRSCbJdUBuAsH1BiOAk1z0rC1P
nt76P7q07jTgdGGnNIiEXjTduQRod4REptBAR9gsi5NUaXQcqlSeyCixm5qq2X1xzcJ5dzKNGJHg
SRL3ycVrZH0Aa0YrOuULyU2knOkLNBN9MpnSf5M5pmV1Dpy7nvB96jqzpOxxysalYkkwU2viiHXk
V+MYZrfTrE4dGb2n38JPi7usc8xjQ9f7rtULOd3rGQptT5vE4EuKr5YEN5PU7MQm47CHGJylyQxs
hkvLvW4VmBEcNHaR/68f+ue/4oc2LPb9/0xWOH6202f5+e/d0H/7mn/EIxz8xjror3+Ynv8mKdh/
4IinkfA/SwrYoalPcRkgAHdZfwaI/26H9v5wl1oYfByE3Bd39b+gKDjefwzNL65ry6CkiNqX/08A
PTNMYZJVKg/poPm3no4OC4OsLPblnKZvsSv7d/ZW+Qkw93JRXuwwjrKtnZ41w7EdzOCEHCcfGZRI
VQ1eGrxUrBTezLH0buZZt5+xPHXXI+L3CSE3/ULft276xXvD7iM+uoXjwXXWg4RnuiHt70zNLDK6
ppc3sFTNJ9tLk2aTQIj6jb8Y35zv5k8mTL6tzx7mXArLuOsaizTDBOuc+aM4xctjxK2j9KXwne7c
ss190WuRXqdpsU8mRlZfC4aQfU+wg+CIXTOV8NE8Qeojg0JnpRY24dyPQuwjlIOWbhXfBImFcbZL
qq2tMkqmcVPvLF8VNMC1HlnpVN70hh9soatvfYFKgchN1tW262uL3fRZ8dAgWiuGG9scbGocs+xx
kLq8rmQ8wyZ0yxueXd2yjDY4N5vhIS+FPA0y0Fk26tCge+eGS1h+4zYKYLHCG21wxQypkB64i5v2
TjPRRXJ6pWhiogJStjW35F7On0HBrgoPFgTbHOnAFBz2OLFz6OLSObf48cEn1r/LUtawmGWL4q+K
bHzXpYpf5JKVmUTUPQVRH/2AcJihKK65C1CmZDAmzEzJydX7otsnltDfizXKYa+xDn/21EfKXtXe
44NJ7kiPRldE9BRyFKR5RBwfz9s8+8m26oOApUs+2YA/LRCmgLHwAOO4RE3Ax/zbWMIo0WAAitPp
cqAfsCqvrCW/wvnbPObAhdFKST52ifd7ojf8fhaS5nTlWtdw3bF/aaV8VSnzU+cH/auHfvNS6Vq8
7RahiVb4SzqM5m9NMSgWxF6hMPRND2Y4ntS9aabfQvgfjuNF13WLtjaw4rmYueVs+5Hq4QW6bBhE
1Kw+2ywm2OuBtR3PJ99AU+umM09N77aoqcjQsmclOKWhJcfD1YCI9tl2PZAR0x7Zd/riqp3q7OSk
+c6MVXSstI5IkjVbi7WK/mvQhhNobVedm1hQKGK1rr9DItPePATBl7jOs1OZjeNHEbj65xgNaiPE
srXtfP8yWg2KXUDNi+vcJ8poHqxB4b3u8+EzJUjw4ihLHNqqt97roY5Pc48Is4h1noGBMaEoAR6P
2PKf1jf4YQJ3Y1t2fLFENQC9b+tbXIsdl+i6fo0CBxKRYMl1NNdFKkMSaE1KWaJBn9KQXkQDEk9h
xGHG6XBrWg4pfiUqXq9eEEcaTGN8cfFVnfsKupU3a9V15KGWuDI1b5OZlWZd9sZOovqeu8GjaxyB
04H5XNfudYYjiVxyLo2fiGj8Dy53+dNTeXANnE6xwCya2QgdqOkLXrBuoOd2cKdHVx+fkxZG6IES
AD0PS6fPvC2Sf7Al2b9Em63UYTcZNGLbl4STzNIDHckYuIdkzzlYeQiRW2o+fZ9uZ7qfpOUNyX72
MB1L32jmTUs25d1jxYbRU7kQEjIWf/NmmmMNA1s+ctFpExfXaTuP4kqSDX6zbEF15ISR8V5pQ/nd
Ud2lwgg+3IfdMg5tyroT76rySaRzIIId9coUsYU60N57n0quWhuhWT6JbtO5yRpjfGuwDZVnsEGW
u6FQZTppo+6UB1n4rCL7ING+4kqZFT6Z2nvrhVP4uyD32zu97v1r4v3LoT1GEwcj41wSarIk6mIO
Uw/yDXsgpLZAe2fpgVmFSiboiZPRKdpiXHinxyQx6za0dK25GfOUYhClpKXwYRnTHHbamLaHicQ/
BQ/M6Y+JO0C5H8GKadzh2+5LR2vhqtu7LjiAwTHlYy107eK1c7Hvi1q2O68XMSJOU0yPepxxY6GB
q39HVSO/VyRjiSzQj3ayy9jihFmvIaLrnRMxO+bcEGLCTQP2xsw4T9y4T4YhiacgLajfLeaTVzb3
3YGd+gTszHZGLi6qyR+SzItee7aQ11wXfjeT1n46SfBgKwXtjqEN6zpVA+4ec3hw7kGYfkz+AGTT
BkfzYfc6vT8xROWTzpU22iQePRCxQRFnlPmzfxfDX8dhaBfsPDKvHfeIfHwDrSfkIcsDabPlJSge
5hy+z1rKGqyjxp3MclLSgpjb3RYgJ+EjzC/jDwypftmJKhm6icCbK0bnWssGeHRyte6B9XBOmpbz
uW/5ILzVWDufpsXgB0rDJEBilLwBK2FXIEKiaAC4FhvPfdeL66xw4IRlmp4mu9It0zdM+rxmb/US
2t3Cap8T1ikdWadzlefNq++mdC9RQQvULPIK0gvWaktsdUR1bln9u2blRrmBBM0LBEmeA3mEg8Nd
JJ1vSoygciMXlyO46v7CGWp86oacXkfd90/5aoqMvDnl7IXYEI44HmMcoKp/DxYvZTdYEWpwRoDK
W2yW+Apwgk++/lxAOvwxFjtmlJTBS7xYNPXFrMl2N+4Q1XBUCwkrm1omVv0QVMcfDl15m662z2Bx
gA7DYgadE6v60LKqPqFdI0az4rUeMftQHsypqH2Vq5UU20cLN5wcEw5/ohg20hvG02T1oGrD6kdd
valpskRsUrPQ32TR9o8VxrYfb/WxGmOEfa2dRu8htVJBp/oILrIlsk+aO6uyu2D1wsrVF2svFtlI
FhbphlTcg8vAPNstPtp2TLYoLvkXvysKzGbl1y/4DXgKIFjhfjfmh4yleY3/loXzJsa+Rta9LlG0
kAbijdlo+kudZlYfzr3tXbHcobBXRZ7HzX91/XqxiQM4w3uGV1Y48lZvMv7vIxQ/iG+ZiN4wDWK6
DihBQurlp4rprH7pIfrdyzEJtnmd8HtP27K7Q+2dr+fVk0wzZ/fQG3n9MPoRYplcrMvu6mIeF0Nz
Iib3Kg10rIQ2T7iJptzJO2opiRYDAzjdLpjcd+msSybaxRdNHiu9dVe3NPxw83MG0/eiNYuTGuug
fuO2ip8IMISGSIjiJ1TbdXI0VOx/ZtwKf5mmx0EfB6l8CQw18vOFF74FQhr/8plnj1gxgpcEyNNB
zPSOdZo0b7LZSq/z1f6tOTjBU5jvR560dXYoVpd4kS4E4irtgqsI8NtFrW7yeXWWJ1BOPsY8g86X
lzQw53VQ/ER9ih890uKveTWpx90cXKEO3AgA/adpNbKvN6H/NpvZv3eZ/d/DT7UAmLrVbPYP89mf
drN//PF/hhfNCJDA/tml8frzW0yf/+eu/fz+6cRf7o5/funf7GjmH77j2y44Mzq4/mJHs//QDZxF
uu0vuXqT1Pvfk/WE7vkCkrS2rQcIZ7yQv18djT90D/tUwAOWay1oqn/l7shF8T810xs0pBquCUQK
45Ll/Ac3WmLQLQFItNsTYhPUsrSxOGD6FrealuovfKCNV5/UVh623DauklXA8ssa2WtM0sfSNrH8
0zxNtnScbLa06F/zKoVFiGXuVVT2vXih8wq5TFuUM0JxtOTUprlVmoWhRqfcaVHZPLDloRT9cFuX
+suctkrb1OX4hIBVPMUwJ0BCehYsoyI9mnbtn122wqeWOM1dkSm8WFyzEfy6VfzDroIOaE6Ucazi
IJTw+YI6NOph2/vTfdBHiIlp4ubVGeHsAUoiYuOwCo+umIvHepUjaVEYHjE085yf7dFAal/FS5qD
ETLNVdS0Fn2T8iWkTnC8TMXWKoHiHQqCM9AWpFFosGZ7D86u/rZbqp0OMWUBA0BSNNVqntUXi2CE
VpOWpWInPYSgeJViyWgiy2qQmotb2nuRa2fNGX5LhufqRgniVEyFxhNG94VFitrL3tShjAkvvWtZ
GhisRRbmEux+TW1iDyfLhYy7aaIW2Fa+Cspi0ZbdRWUmtofgHK3iczDpT3ZXJe+MG/F3v2jUSu+8
m2IVrjuq6nYEkpCznaIeWa+icS92NDyJi/KdDw2bUunwXM+5A5OSTVDonEUvjxfl3FpF9HnR07nM
a8TB9FI/w7/JMBvkZihXEZ7FtsA3ZSHN1z1PJnbEDOqLcu+g55g0a43eWQOQemWX2a8eVAHdhCQK
iV9XPKsWHwC0dozwEzER+F8gFDCEhenqGogXA4FeKTwki6kgzgv/1V6dBsbqOhCLASFZrAgengTL
qPRNwF6S3aITb6FqJwcoDrgY5GJocHE21KvHgebRK2exPbBHCt7bNk+uY9q4aP6YZnFopOf/Ipji
QnYnnPE2tAiKG810lNy4SazwFNnoG1hoSgHcnr2oH+oiT+szgCrt4Plzw/Cdx90Vl0HoDGX54Kcj
SdDKsBtiuQDgait4ym17eCdmV4Z6PfB+D0bfEcTxuszf+wRDrSP1cvMna4xevPZ6JeBBKeGBZBY4
+jfK0MbxpHsUqTBa43qGjq0n5cmA4xujDQ/ijf4e1TA5xrLaV1yK1BUMNnjjAoltDHUSTmJvZy79
qUIbjVus34a3qd3Wfbe4W3KDYHNNrCIqevuVh2Gj3QDYEe2eay9pXcXOzNnaC0sxJI1sOftxQmXa
popfNK6Q0lkEfTMu1Q3L9ri/hk4zwqMGHM4iJ+C/ehA+gRw4E5HBzpl3F1EPWEtqH8UYKsMEHRSA
5ETsBNrUWB2ZluSTnubOCfBl3DxmXTX5u0STQfozAmNGTqg6PthOTfQLYFGOlCd6k3Bwmv3koyTm
akVRW29Q3PFoxQ62T+z0M2y1ztfgCXC7jehgnPPfbZA2OH6sEeUyrbPuxDsTL2udmB4ifWvfoxKU
N2XpON+upqDm2IEXJOceVecLeGnLwE7VwTJnKUyL/NWe79h8LgnRP4N6JuOpZ7Q55JlNYadeN3Eo
/NoLPSdhHzSzQiTq4dA5tMkEe5UNB6TXwUjtmyrkW0TqS+pI4y8ZBje5ygibp3hy3wegqNdD5pSv
FcN9ASF2nG760czocbECtWlreGmcQ7G2pcBupHpKjtdD0AR3ESW/SeinItinmqvuHdXTaSJK86EY
SsEQLx2KGrMyrk5RQ4fmps6VcaIQKblIOdJlobXNk1Ga1msh3XFvtGtQL3BPVMXFUOt5RBYIALr+
pWKK0yyNSiecvBr7uNif+4M+9cFVXUkN/l5nUVpHIBT/UFnfQpbqP3Vy2B/JaNgvnTDAtvdDutfb
IXrgaZn4h4bk41NlpOqrkYn9bQbG+DS2xbgnvPMYcCwREmu8oNuJoXpMe1vh7J1FfaYAk5OX3GR8
NIrG2hYdIjDriTRBgMMPG4L7TMTezxd7d5e77zGW02bbd2V3ydzJ/x0AF9+UhB5CPQoWJp0sPjyv
YM1VObo5HnWzpzR4QE/Ozbw60u6BFN2m443DHhV9qIKnsJ8MvmGpx8YPqSTtipZCS4RmGRv1FYua
uSasMFfPDVEP8Fqq4NlVDrV9qrnHAlml7YUdiE8Jy0SK9ANinX0/9JMFkS8LbssWCjqDs/+LR3N7
RVqqe08H+oagKqj6XKssvhRGgRTeTBxUDo6lhyIx+bO0h+CW1yI/6MPVXwAluCNqN2KguUDDMfMQ
cItc2Nle+gOBM38GXZDuxggT3Q2/vfKdxO+8VY6kuoDdJ2VIdrpNgMQPHqXiIpj9GyYXeuUhqL1N
ZPRCiI2JOMEjFhsaV9pdFlQDnzcP/oKhJ+69zo0a30cfTPdGr831Y4mYdCZL1n6YeFLA6tiIQJuo
agp/O7bVgKruws5xm8H+oDRiuFc56YETOn32Vo0xTQTEQnG06aldflXct35FVk6KGHYPhuyOC33K
TzXFbTDEg8fiHbQF50vunWtfkkqOgGJCy1tLoPjXOMx00pcDLYBJya4LvxdEW+nc2ykmUWfsOJn5
5RovGMGhH0rJhiXkqwuoCHHTbNAwk8M0j/I3LZ0Va4eBP+uW6H87oxxObKrqK9YJ3tnRkvqeSAsV
LJ03sRlz8iF9zsumPIim6C6JiPSD7mKsDlp6bRZQBJd1I6dcKnAhD2Opxm0fejR9i81AmPcVYjcI
jDYtyKHVWNY+mwAny65R1vSZTFr0C2wGIMquG8qYTyzWu8VTILI7Q3NahPS0wVjBl1PiUdRsewqv
K28bFikPDKZiq5LYZPGS+BAgSK/PvFm1KD6YQVp9BHRM83mjgZjmrBl6d5QN5ARRA97LSrpxmExt
+ZlNjnOxadb5tPq+2w0U6pK4sLXoAhXQgJViOBlRCsimwBhnjKu+Xr1KP25+zXqFv5gkoXOTCAcY
R0Dil1XxpNB5a8yzQc9ra9vKual8NAok9gSXfkOR886EHnHHqT9t29ajNZxhhwIPugjiZ/Yfy7kD
X8nuTCQOMApUPLawAbMtWj+QAEtNzYePd3cbI4LMt7SHOPa27lX/KWXl7DxE9Cosmiy7tRKztTfe
WBgZ8D9bX5j3nrqWLbbvsPP1+TmeZfAUwDQBsMk/ButF6HRrqXLYKhIkb3rgDOIxQ6q4w4pr5VA5
Lf9bMltS4AkJPtp3PJnhik/OWeQ0woIVlz6lkpZG8bMnWGHG/MyOeoKO7UgJSs8xWu+eDgmNIqxy
NB9dnjokluP+BRk8ebQwnN+NU8zcJpymu89N6Qx7PZidjpFEo2OElD2pj3aI3cfBDZJbYiFYeSh4
nm4dqyF5FyvroSE2yZPIqmLWDtqi2A+O9s2Jl+55Prt7NkPpD9Ua9ZZRyHkOVFAZ+07X3AediqWP
ak69JAwE2PqFJ8IGk3jXWbiV9555w3xX6K32VflFSohGtMnF7GRxoZLd+w2+LKmv5rir6HyB/Ppt
EUt8mUecstQMDBdUhSzZgqHU01BHvyj3LmLO4r7hFDo2TeEeyR9rz25M4eAu73Bq6ZIqyUK0dCNM
iU6brgPd0JgwToelmednnW5xEdr5ML3OpM3oDk3x13iT13hbUSRUyRhVfUWYg+pjSr6hWJRxcmH3
pZ+Mon9TuqRcKq4S9ltTzwsxqRiu9OUy5dZnJSz/lLQ1J48d2/fJCM7Vmcw43iTTSM3IYtawNPEC
LN/f2C2KC+9Ctq5d8LuioKlzrfakaOjdNTQR7W0kowOwxIpd3BT9RFrd3dpmxfk3BZi8W8XtUJP2
oYLcehgZEUjTqsG9iYOqulOlI05NWtMoN2nl0ejG7NLEXv9rzGR972kTtcgIJQOzi1c92Tz79q4/
dkfKAOMPxpkurALxkEBP3HQ9L3SaWdBCDqdtY6iiS+0MyaEOIKGouO+uSBHwpNYoIh2T8Re3B3ky
KvC1CEPkVIdylN9ZU+rjLh1z9pMkDT7SBtMGuUFXnkfeIKGmTe2lbUzJsEhlMCHM4XP2m++51pit
cjtaHqfcxmpoxSd3atvzRFnpgStQvB8wANBXP1n6dZDgTxKeY4UNW9JNGw/mPkFzuKd2ZfLDRqn2
4jaZvEIirU+TVjf0cIIJonbKicNcS90rq4qeeNvfu8g8A1wPax7tO9vL8CizmQoNoOqEW8Zgw68T
JyQgiAVvlIprgSKQhSl2uZfKUuJVj90g5Pbp9jxgm2fWpOozqakIxMeOaUVH1YFI43pHEgL2qYrA
jRx0SBkcb6ma311Tv6WnoL3F+Eggv5PH3rBaJsAeqqSeWz3kDJgIZeY4b91UDV/13F0XIm8u+FCo
mzV0/K0JBvUvM4j0r5hxI8Q4XuFWnHyEWG2+DBXVj2lOKrYQ/L8tqlExnJj9vslj8BJ2qzmnYi7M
m8r1xifpMZtPXSbhMuSafG8WToikO3VXLuwQOVndF/gJqo8DyCLOwhiJYgd0gi/1/Wj7PN0WFom1
UEn8EooYGk4MrGRYwSVMI3c578ZmhzuQrEuF/WXXADmlijvrSxmyVqROazSw27jc2rgNaxi1SVgb
FLdo0FO8PJLekweGRZHhLktuJtIUoVyoK62pjVaYLSyWdE7KD+JueKt7y8yJgxO6j+/wrVK1lAwV
43dW3FWpZX6YsPxvzTQ3vrtUw9C3wARSNFrDOvXcbvYu/Tr6xptV8pLh+6FX1iep8VjXXVkeYTr5
O7yVsqYOAfbMIGooNGyATqrvTO4LC6XGyHLTPS4Lkk/oaHA6VqCNPSgXGMAKupGl1B6NhX4jFw4O
z5f6Ee+s/DQXSo7WwcsBk/WB4VBcrBWmky9cHX1kz8K9DtiOG8HdaRYCT7fCeGKFMBVaK6TH7ExA
HHKF91gryMcfi9J/SVfAT81T0wLSmC8jY3w1jvU+GduUH4QMQANRzQMmKF2IQfXCDvJnO3rVVQFQ
SKxwIcDQxPLLpD2zwQE+5KcNcCqzVvkZe7NFvW8k58dSGoN7RRWp7C7VyjKaF6xRMkKLm9hKHNAT
38kF0WrYcH074O2wSF7PCXwkyyC9x6Wz/QhWftI4omZnNK/RUG5pT7Uf+VcAlLuQERIj84Jh4iMH
kYkjHzpTg6Hy1liQTXna+69sZvSNxvOISRqsU0mn4o0TAJGDUhXzYVoAUKpZFucLFArnMXyohorv
gPUDEF56xUD1bggrtg4THwsDcGkmrCm3Hh2DNDsIKgQCaFTjn2SqHOb5xlc13ZCc69gb65VkZXWA
HC656CF/JTQJMQ5Dclma9woJS3YlYtF1BR1r8AZ922aO9EK7rfs3K2qWUbmrwGQAhM+fMtaBi3UT
7Fa5EriSAvkgFAVvTCBdQeaeG6ewP2Nt4dUiIaowg5zChMMjavIc9A5bFOo8BrX7leVG/eoWhv82
u/izMeAJ7a7yQcKEnU1xEUJTN+39CUw5FvK+PTGJ5/thrrM8jKa+43pHdxlY9lTWtPAJP/6wG6gk
JUykmzwqfUSgFWcmvd7bOonv/HLZf4AHRpi8YO/PqKFj5nkj4dW1yNVgANKFl1ZQOXEE0oNtdcWp
lVreHMfIagiXwYsfQjOIkR2N1i2vyLUTTehWTFthZXYNcX3RliKz0AbSqCvjjTQhvLe+MEAODJ6N
hzyP1PvgLmy4aMXErcQ4t1cB37VHzBQBR840OQYTC7QhY0ruc2E8+R4Ro50tfZc5YQHTuR3mjk3s
wKszMUGwt1gxdhPV9VpYDDbKfrCQ7tIVesfb0/W32Z80PIoa47ckkR3YE9OFfE/kd1/6OHXY1ubf
ZVOY10T10YnzrAeOVnT0bN0mK4ovcNLXZtTRxyH6uXybK7cv0zyIJsCm4QyD0irPcsX9ydZvsB8O
cfAEZofbPM50fTO5RvoVTaNkD2JicLjinEgIr+hGzRs0cwrj5KumLelRDAYL1XQhEiap8n61Tt8+
566JtpRRpVNsiMWxEEikN4UxHmpCCivrMENlpsxgZSCCwvIuymzZlWLR929SfNkd8wTZjY23chSL
lamYlZjUt87KWsz/5C6KHvf2kAz1TVrkivz1lKl3N6LvfV7AjXySYDi2OjjHGMRJf1WTxHOYlz14
rtgT4++IuJ/Y07SdLk2imE1DHkucK2qlSMK2tM9AWGdzAy0PmMTIY5KWM+LJ1FXTQq+Z5M1xGuvT
1VRqgDa5RWpxWLeqiXdzXuXpzhTJfL8kbmr8503ZcmUKum2j85nf0dgeXY+KitOwlRRKN3q6iNhZ
wfoLRB2yN6cqfE0f0qZWjXp/Na38TW2pVyHZt3A5k1ZnmdR5LufADHLrppsl032+QD0pfsOBQYiS
ULpv5RR2VSsDVB9jlkVTxQuOtYUS2sGgjvZ5YfweMs1/aH3PYPOYulhgtIpMMRZkMPQOiQOqc3OA
97uOYxMzmmy0+5irhv9iJjMEKncgUeunGFn8ERbjnmu9nfymw3z6yBnIaJVIyJ2xxbUhhZUO0cvR
A0qU+9PR8xEQ9nhcvZc66esLOLf4JS3EYnv26/Qub/K3WrOiHfQ/LzulPER2UW9K9Fk5RNteReUn
go72XSX19JQSJqROoKKoGghMLadLzqMQerCfAzs10RUpRFp22dkQ/GKYa7/01C+eZ0iZVD3UY7fj
sibOmoHYBD9j+Y5k1FuQpJasjCA1YyzxGbYW1l6xULiw0rGJMjn9XadDGyUdU1l4xL1xPlq8cR9k
M9YP0az4BKyJHbGEd9o1xyOXSA8GPUNB/yXoM6+Zn3lc8j8FLBDWMmsuKFozQv6aF8KURHYoIsmS
3rBsIFM0z0u+CPQMWaNuzR2xzfShvSxxJPorH+m9oxJNGdMnLY47awkv1TqEUbKUJJoQZMBGLjEn
ZjJF5Am8sftIbpOlxZqJSlo3fmpNw39iFo3nUF/zU/qapSKL3by6nl79DkwmZ5QX9gCh3+nFj0nw
OQv9JZyFq4Jlf9MnhE6W8Ja95rjKNdP1v/rsf8nU6xq2b9r6P9VoQyHYeSRd/Nn+VaH9ty/+m0qL
jxchFrQEcGNcpy7Qjj8dvuBECIOgt3qk8HTDWf7m7zKt/QeiLg5erLzEB1zj32Raw/vDY/YPfEa3
Pw3A/4pM6wVLm89fysF8sEIgyIC8EcIOKA/6SzmYHqU8fdNB7T27EiYiSdeGI3XGIAKDkjPb4pqU
7tqMjxMp9GW/iHuRJ5WtTJQx6UpW7WCbr8rRQGbrKx5ufVQ0V47n5Y/4NbQnB3DoKVbVcOcWpbiA
AeL23DpecQBWEew8Ii8b9tNkowB2s++jtRMBTFjiyEU0f5ljokJhlJf+JSbkjKHGdFkp4Sy7d1VV
mNQGPMY9M9WsMdMUvb8xB+gXkOPai/Bp3FU+m+09B3WfMdnFUhKxnwChl+bYEB9cNqQs+PTHiALR
N4bF+BHERLl1dTP9ougjvp7yhuqjifs6jrfA+VACo5aU1ECN5ggHl/2+k5qg5lqLJGaVGplJ+CAq
71TX0V88k0QrKYnE8KYusc79xqDPmKKC1txz6YzD/8femTRnraTb+q+cuHNVSEq1gzPx18gt2GAw
7IkC2KC+V6r79ecRu+KWnQdw3BzfKbUrrU/Sm8p8c61nOZI21dZ41tcgQzR8UTcSIfUYZMVtl3rF
19kLt4VVehn+DSwy+cBBH/323A9jJibfsK1jYu/yZpeOQcgS7cJEh4ZuObGvcx7AAcCzc8BeM93Q
Jf64Am6Lj769ZAXpCvXCgWBNR2aDWXxKcV+II/5D/056c/4lq53qu4mNLIx6zquMiw7owHZhhutA
Z36PIXYHwlurarO5D9PIctjD2sEHUeDttr05uRuDObxGsdTiQWZTfqhkyeLIWzK6vMInMLM3mvQT
SSs454Rpp5di2H2lq6BPWLCcCQ9QA2DQsAqBnoaCKmTTE8bZZZma8m++onN6FnazXEpsjxEL4dXF
d+KtJ7sFIg+7IWCJwYQ9fBgdYd8XOGhvY08OjylZ118SmtU5X2C21zdjwqt48NlffOsqd/2M96+x
WFb7eD3CvG//suRYEz9sAdDEI1X37y2WQPdInVBlbu0c3uZFM0A0BdpG/zElIpkvZP8QePXycYBH
2pM1YhrfZZvDVwgsq/9Em6Si2e81UQCQDIGYHc6PbIY57UjQWXL+NbKTuZxt2p0XtL5rYqiIDoLv
RQDTyFlpks7zx9Djq+iOzXYlrHqv26JjIZAa08FpPVbPpgXVgajqBTYgyLWvCcW1/19RMtKzQF9H
DxUR08mZvOBqAkJ8XxKZUl3YTrmYT0m3mp88Xrn1ZHYNrkd8urulHhxMJNbAZVHUmRyHwxyxLvwu
SC63IQXVHXvf49LePs/JcrLiBrTdLL5BvAiyg1nk/VfXX4iCdSxn+bzQqzx2koR59lXzI3E/7S2y
o/iycB1U/LCQCUhKYPglflaeunUZnrYBG/YxGUbnZAc0C/MFMbdvbsg0xertp7AY54pVoDAmDeZy
XVOOhdft1NArwf+27Efa4KIlC3Csl378MbRzorTYOodHrwi9gwEe2GbL12ONnpOKRdZWo8tz2EZb
h2pequZkE/sCCyjtsu+5bNMPm5+muIqsgo7kSKsEP7I9fzIoFOvc2Tgh4QCzoMbokCKIM0aDxkCG
TOMCHFl3366E1p6xNLOmr7Z2OVpGi2qRA39O7qUn33D2B5NhhVN+NVbD8GnY84dgwv9dVFOOO7ln
nsak7d2kULPBc0jDBQMXdh+gjuZ3W4CaF/vTMj05cdLfCryvny08GRzOuRWuJ5ucJ17YGOtbhQIX
cAGK9G9DHZSXSTV+M7vMaYFFTOhaAtvdpSRl97djJABSjF6ylK7Heb7LJPunQ+jStT+SUYvpzhhk
QAsZMj1cbbejfwfvMQUgmSeWOLJCH76vaELGw7z44CBavjLOVF32Vd9dx15Wv624UzT/W+KNjxWy
tTGyoRKllzRy7bOTeaOJXwoM3SGHJZdxDuG5nERJsJ/8ehNZK69m94NcieAa7JB9tIZhAOTMKvJu
JLbzfW1QbsOGC/RYzl33OfMHBJLYn4OHse3tj6vf4DOmCwoIPm3sD2E/dZ/8Jg+ugxyE3EXqjwbJ
cmT0vm3HoH6Lxsr/0BFGwe3OPV4ffwDycl5bUquPQzbdrf7obQdncRIEf2h9jwtouR9mZ1rBDVeY
CoQzLqroNFiDz+PCuRAfKHu4o27d6jJ2EHZc9LPrPTI39bdTFeZv5rixz4Jz4eMS26l7WIx+29i/
ZEZ64GzAOhsQTW7zNfaf1n17VBJW9rZA5XgobUws4dxk9wSH1virLQtmodccrCbtPgIELz60oWiP
HAp8bk1fPEI1cu6LciW4q8jFJe0Q87ED4P6dM1h0L6zI5RFWtLgimQk2QMr27BHlEvCjJntscFTc
x4BOj8Va+x1HeXlxT+SydcBwjrxmXmskm3zvtvQEfLXGisJtI5rUzx02l+CG9zehFO2XLKjj89LI
xN3tMvIwbM0MiomcuxFW4SUq+e0bHYXsCNgo71FKkLXbAIC8rVqS0NvZy0gZ7z/T2NkizqAWTg3I
1/axE3yJ5UqDCanHu8Cf64ie6q4ySutzRw6iRw6ubZzquQuOq0xFfbAH2pN3Phjqv8qUaNWdzbEE
JxNxeHmue9O5KhMAg4eB4IMrYnbHRxyMzWVt9OldWJj9aQQCTs0lOVvf5qeV0BERMGp5aLB+P7p8
Wh5Av4jkMMwzhr+0IOCpMecBqWk+3wUDmYYnZgSCsZsY67452SC6ZXtvyRBFxohu5JaQOe+9cNMV
vKpTgDobBFKnYAnerLBSxpt6iEEthsiC7rzcL7+0axh/llC13o3ICX/02FjZQa0sJdB0t2RbWZwK
zPxLb+D9TWRd3mcoZNjfCh7xhVXNMRYctA0cyzfrk725kEyKtb1HAowN04HDQLdvsMQXj36oB9os
ST96P9U6u4nFeLO4fXrjJPl2HNw5jiOR+pzV5plc56sw9gfUNbgtniaDiqyrbHrncyAdjUVlvZ1x
rQHMdveoAmkwPXi1n0TEeYyfQQw1D/1PUZGNV/Oa1kd346XwrC62pMpv/VWst7TAZkIHhCEfWMDO
CBB3cRJwFroDwJnItcPPJhD2LN2TsPP2PhxyQuq8fnsToFZGA+M6DgyxrueJ9n22VRdr5f/dYPeq
LsbUXt8YU1xfh8gRI3wKC0HgkGbxdfneN8xOo3UMemf9gm2Fs7ahqgmYXdvpK129PDiHYpDnuUjD
y1xu88NUQJP+51dCvq8PrdNNn8PJfxS7bGsG1QCnvtlNH1mNa32PueTA/YNblO9KDvCOyy77CkmS
pWbpMtCyn4yorpArHYxdL4FfmAdPgE/41Fo9XxCSd5Li4P0UlPl2ID7mENVuQ6tp3nGQ5r2bKq+9
Y/MCh4Rjxk/Y69yd2D8E34pdq0ZCJ7SuxeNsG+82XB9klQtnzqu5XjeLmNbLIrQInkfIY5Vw8ZL1
csQS/i0ukz6Ka9Pjc/UTHJS0fttwgh+Eb+ouAaXKl+u7gebje5Jw1H6afvKH5E8WkVfxrLEFcGgd
2U2YfZhIR6QZVMKy2BFGZljF4jztYCOb/uNHq+Awz1/t8k1NU+4ebf74HbQKH98+zungS1QQ05wA
e6ax8hVTzXDn7xSlfp5urG7HF6TV5H0BV0zoEic5KY7IGL3VwfZWCTffFm+Dwp85dEjoMqU/aU1D
6SJGN39SnOQOdFqmbthDkID/YtSz3U/obdDpyW6kA2Nm/XzRmWb7DRbEeDmDk71raAc+ZNXcPfUE
v/09dMCkSgAAHydrP9pe1iW5Cic5jGdrXhoiaeAqXhnhzqMq6DNfYtQDUoUOyrpw13T8C74ZzkDg
NwC4U0HcDMAAMPXoavJbtgTZJT4R+7JdkOXT1snDk7Uzsdx1x2OlP1FZoq1w6udENVocSJP5jlly
uK6qPPYu8Mdl5dGOreYeTcx2SULAfoOFzCNyEPLL4B80l2HZ7xLezMvZ8uqvQbMhV2KXPfIXRFUe
pSOM9+bO+apKq3/CZbNeFTsBzOR8aUWjARestQaX/2UyWWIYdnNDa6m9BTCAjBRHIs5+fI/5l6oB
Nndpj1ny1m4qfgLnlj5Y6J1AJsPqRz8KD25mWUUzkbH3BqxLUB9A9pAvI/RI0gWON/tK8zF34/Dd
YtOKxAgJebtcJa4Y0EgsSGg4DddD5gb20dscQAGAH9vLYexMQGA1dGu/BPvPR5m+72U/DjwalvHY
gdabyZ3765Ev0pes8BbvUGfxEF8Q5OXT27P8EiTcOMYcj7vjckaSQ1OqGGBwX/T4vNizFbuf3Ulv
hp0n1xcTsMAAIOS2LBU5CVVdtbsnqg8O0Euyq5AG6/clKZq7pP+ZAJzE4QPqETwv7r6nGDncJYaQ
rzjnlVb/lp64uK28kQAQc6ovp8JHkQLIpzsndbV8dGyOZyO6882V0U3xX7TM9waWt5W04J3OvhJ9
T2AlolgALZM/02b//82sZ82sbw1Huj0Y3SRrXmRvWdYf87qu6r+zl+70/b//p3MV+v9yLLawrgsn
kMQuD3f4P50rL/gXik5cBKZLwwh3Nk2lf3euhI+LwPcwdppeiAku/E9Ul/cv3zMdWr2+7TuWF4b/
T9F9jPOsb0VTA0o2bqufiX7PctyHeOFgKKM9m1rH0H1LoO0zq8X9P52v/6olJ9JZPQ7//X9+N+7+
78/GDe1sIglz8U8jHfr0YtvW9YlO0/JGb3ju8vPhWQkX67zU/intu75/N3usugg63Zoffx5/N1X8
p533n9tCL/H5+GG1FYEsYu9E73jYHlqrCk3CfXLXQkdj0iVzRDfG5z//sd/dq72n+OxeDTz7fE4g
Ci2sabGGIaand7F6wV9/Hv+lg+Q/P0YJYfPDzmxzAKgnabXOnWXNDuw2jnVgywS4SCPD37z+olq7
9t2f/+BvflCwcxCe/aA2QNHOUaTH/hktxnWTypgEGbyK2T9obaxIYKt/8Xa9BCr831+0B7s//wMB
EA5zlMIln2zw52uP4377gEzbRtdfpLl9Z8mC9mQ3dPW6xws5VndGrT/1l3/+gdZ+637xfuwGpOcX
0PoVR47DSl8UCQmnCjYxbcIC5SY6yA1dMgO2latv3KIytQq6AU0T4KdMAru6/fMl/O4eK3agMlmr
qXRnbgHtgwPE/h++O2ev/L7fDb7nfD57gHSuPVgBo3uCgOJ/Mpu1wUQu87d6l77/1Wejl0gWvEFw
8FaILPtuNrCXayNj06k3vDI3AMJ0SXaDG1WOPovPuSM0nLwXvZknUGaGvpzztrU79zQ2xradTOzh
/dFrm8bXvHxlNrBJhwjWMmc2aAB2HnbyANsNljvhUe/+KNOBDVy4bugKR6CcfO9+yMC4f6zG0Xhl
7vzNy/OTgvLs8aJWlSDf3CDaGjRUa+IYHHFmBQchf77+/SX8Re35SvGTsOewgF9j7MUB/vO5t1rk
l/NKc6LLUifU/DNKiQsHD87cGsiTRk50L1lr18Ro11a5nNoMy4NeqamQ+a6ZulgsVRC1pMw9Fv2a
vq19L3zUu1dKIc+gt1BnuCHgrSVDo9r74jZx1qZ7KtygWF65Vb974vu/P3viKGmQJfttEPWlA9cA
e8vbMLEg3v35R/xuePFy+AYBKn32zYuk3yEGpVHgfCYeq33lY/K74ZWKlpOPfQLvZTSVPIGxJF3I
kQYJSHpXr9SzhGWzlmseRA4x3DwDQgUM2vtrtmn+AaWei9BwCXLj7qM/3xGCFnz3E7uUbb7X+gX7
wvX54/VtpJUWZJcoBIdFgssw3KPnR1P/5+F/s9bylHquwml2c7jqUYUNMX7nkz+H7JUcRPMaj0Xo
P6xJI7yrP/+x3zxsT6lqH1JzaHJGHLXoG7PLEcncziKoZlOvnj3lu7zQffBGu/cjsmMw6QyVPQE9
kk7/2rd5vy2/mP48paTXJE/MauZ9goTcEvuQkPx1Xxnb5F0nqMfonCX2Wn/CKin+knUy16/cud+t
eTylyku04X6zzcy7ZVC216kxxD4re5o7JF2Mc+6MFzWKIbDQqddWZ+BSiX/0yMhr3tMs8KTmDVZm
A/Rjhh8U+BIr35BHgcw9CvxSvPIyWntZ/ur22i9fdpd+ZNbZXRgJc+ub04YjEBl9TPTcJY17f32b
DFXzozWcubp0tqCm8SaEXd/ZfhDkn6Alu+4rl/K7V1WZOAgvcNtmzpyo9eNBHLwt/N4uC3RUvUpQ
po2yF54FuMmPaDnPUTKS9wOHJUj+1hreVSYNidoRxkXioHJbgs8un9I3mDYqvTnbVeaMTiSwoQ0/
jNySncxBWgFAHzQK6/DKW/abKnOVeWLIyPeylz6IxhVu9lXg9D3Wxdai4lI75QipRg/Gme7mtck3
+nKDrfdYVJu/mGsYnXbvRV6A8ZZoLRvB7iodUiL1Howyf4AUKzqJiewkQSKewO8nx81rjKPe6Mok
4eGCrPNu2aKBg8toq8FIe32bvzIH/aYkXKX2PYw3xsKnARRLxlEx5skjXFVb86VSSp9dD/iwjDN5
m30jiFPrqQYLrvlclWq2PLiknA4AmUYKfwdj0mQt0KVWrjm+Us5pLsdW9MjVCTcLr+xpKY4xJ2SR
1mN1lGoW7eS2IycO0RjTgp0FTdKBVGe9a3eUag5qYgMmn8dq7I4JGDbEVhR0i/WuXSnl3DR6c46H
DbdeVp6HsE5oDjvb+c+j72Xzi++Fo3zv69hNUTmif5oN9zvbzmI6OyOnctGIMFvzFyglK9DZ13kR
z5GgcN+FSD9PQJALve24o5QsIhzhzJs3R43jeldB6Mpjvtaa042jlKw1VmVMHB1q56F0brKy8u8w
YGheulKxfKjjgvOJMeqaPLYOvYsO1sfDkerNZo5StG6cDMRX0OZp62y5LghXxJ0dl5pFpZQs/VFj
smQ+nkkVmof3AnxW+dYFupnqvTdCqVog/FOHBW1hSSi3Q9G6n9cQuO2fX/zfzMVCKVoXnxK8nHg6
degCOHuWIJZDztz0RleKVrS5Y8f5HgddG597wI8XNWIavccqlJot2q03jMH796U7uAk4zcQnp3fp
arW6QYxEx5pOIb75i92rsCP/dUdXqrUwpzYGWzqdlhzMvAwKeYH8O9e8dqVaU8cNiBE1Gd2xvyNR
Ks9Jlmh2toT9cmlNBFkJm4TBw02Cn/HDnp2Xt+itDfZDlOe7VHiGfgyWdDq5YzyDR5lsJOrxqPeJ
EkqtVmlr140w5ameOLWf0+w7h8qW3l23lTodtn5sm3SWp6pIwQo67mcDrIrm4EqdmrHLGTTm0JPf
mfVxWLIvGH8GzcGVMu2GEPQrIrUT0QaQxYkHupC97WuOrtSpL3JM0EbIpYfSuhs4HrmP/aTUO6La
sV4vXhjpEHbByNGGWW4guS/w3CPiOJxkWhOBrZSqTbBIBTV+ioBI4iLGL+pG7WyP3/SGV2qVZC27
R3fGlzUeyuswH6wj8QHrSW90++XdkX3cClSHMhpD8ZeV2w+DIx70hlYrdVjzal2NMcpS4w3T4+fV
BmukN7ZSp2FGbIpV+yMIvzQ4glF9bArUslqDW0qd1sVg9GEgZWRkIyH2uX/r252pd+WWUqccC8/t
QFLCqS6Xv7OVtCG3utG7bqVKAxA8Bt/rNWJYMiw3e0ixXw4i0Zt6LaVOp8SVaeEQ6xTiiPjkoI2H
Npptlt5Kw1IKVXalbZZxI0k86Ldjs/hfU/BHmrddKdIY4QS44F5G7toT8laR7ACB65WT132QX2wO
djHA8ykmhPeUtUY1Rk0/higLE+uuNOL2Se+xKiVqj/bYj33G65gSh4Qg/JMfZJqPVKnRzWnCPE4L
GfXovC6sYPlcdsG93nUrNerMzjJngrGNfHgkbuEOrNid1tCmUqEN0sZkFKRhmLEB1SGHf76Zmv0B
1dtjWW0LFBu1qmeGb0m8/Rz0AIn1LlwpUSNlnd5DGojKtH5oCMOJq1RvJjeV6nTaeRULDfxTs5Ei
MNs3jqv3BTWVwmxXd/Salr0disDboFkiXHh6x6ymUpYZMsZUSi66xQA5Sew5H/VutFKS5W492Qoe
opMWX/slfAg2T2+eMpV6lEQcLutM4tQ65Nbjto5IgqUYjnoXrlSkqElAwus/RoOBlMCui8swDj/p
ja1UZFFmg+tjAT+Rw7Vjn70vZLvqfdiIuX45CfJid10JqDBKM2+5cLHuHMPQn7QKxwGz+mKKDQDR
jw5UJ+AM73tCL+li69wT+H0vB04TvKldCplUBog5YAu0F1bnPeoNrtTkzHnXutbxcLLSFuoNZ/uk
b45ab4qjarp6Kc3CKBk8KN17IdtvmQMVQO/ClboMHXc1uwCSXl+Je5exFznpjq2UpjVnvhCLRdvY
FuatJKvtunMWT/OuKNWZDs4E4VnyorgbYbYmvDRo9np3RanNJZTOjMtpjMCljdCinNhrjrjPrUxr
anFCpUDbuXJizmrGCF/HF2Oenjh8+KB17apYaxLC7D3BfcFq5GIbKzASBLavtY6gIfSyivp08ulH
L1z4stzLxrxGh61ZoaoIK8f5Cp1LDEAMxF2J4PAU+L6td8f3XKLnSzeZgOEP5TRGZgt/3igPOf4S
vTuufDZ716jXRFRDBBrAPsB8I7/OyX/oDa4U6MqJwhBUUDqmHVc5ENjtu+/1hlbqE+k6yQi2QVSE
Ve6eJ78713CLtJYpWMZf3vDGnetwQisUcYS0EQ7avPHhuehNW4FSoLK1B0x8cx+BxsJ8PMjeuDGI
RXmnd2eU8pwNwazoSJ7otP49sIJbhuCr1tCqmmrkw5O26PyxCyTvlra9MqtK7z1UhVRTHBReXjp9
tE0kguDAsI9GWX/Tu27l85kBYyLfpRiiMG0PhbO+IR/qlWXnXif/e1flqJKp2aAfPLV+H2ELceVF
73v5XeeRtz7nNtRavetXitQt6oXwV7ePykxgRHOejLZ41BtaKdEFxWPp+XFP/U/D5TQQpGNNjt5R
neMrVZrgV8x6YXPhjvVUTWSYOEb7Ue/KlRpNF/iTvZkOkWtnznzaBNY+SChlWuh9pH2lTkndIfk8
KHklFwPzjf2YdXp7ccdXarTM3I4NM0PHa/gwmtnbWHhax1COKpCCFAOiYVr7SMSVHRmBPT5YAMW1
lL6Oqo+ygWzBO+RNjM1t90x1kXA01WmkH7ycdaslxvgO1DsCKQwHd/LP3ZzodYdxPbwcfOwdKR1o
2BjbzZtptW9Kd9GrIVUFFc5JKfMOE5tPFi8MvPUmBPat97VQlU4hb4m52AWMLygbwurANY2a161U
Z0+ESuyRFxsNXvCUWf0DOSZamzhn5588X7HEi1MVOGP7yOPOkB6YYGlbiU3VKn1PqcyRMHojh8XD
uU3aHXq7eJBG+EFvbKU0TZN9Vu2aXZRkAnsejOnpJCG86t0YVYqUA9/bJnLxIhGuFRBKz3tXZuam
90RVKdKUu16M1q6LtrC3iTd13vAl1Ts9d1QZkjTqoCEtg9elCR0T5kmwFkN6AeKseOVj6vz6Y6rq
jdACm2FCIkOEd3L2CbRFthPHgPH0lnWu8h1dCymDvoohjRlD0eHzbKsfMvRnzU2ju/+uZ9pji5Rr
Zw6NNuoxjx6rxCNvmBjws9abqQqOfH+BFzCZbSQByB0IkidEjd2v3jzjKhU7lijwBlG30eD4YF6s
zS7gXC+AWfSuXqnZBTxWD8qtjeAMNwDvqg9Lael981ylZku7mSvDl9x3SGiX62CSeVw26aXWlat6
o0kQg9iWcxvtbtcns4mTS8cPIBvpDa/sSgXzpAtUsI3COu6Gsy/3HD83bogb1PsDymeVw7iiqUl0
ZL8xzFd9H3xIu1KvN++okiMgNzYa476NfGd8nyXDA1Tl93rXrVQrQCrS2sqki/w6/KtuQNAAdn5N
W/ubqUYVGpEN6AeGxPks+jz4y+dQ4VICW9F8ZZQv62gay7oJt4mo1JCglqm7MFbD15vGHKVUe8IF
x7ZkdJfERcjo7XVRv6Zi+rkE/cWGRpUZddmCvC6wm2jyioQE6qrOmWzwj4OFqcKkuKzadX4vq6G8
EoMwvGhMyTZ/xOLmd/f0/4b+feiDIy84l2wuc6CUHvF/Gc34ZOkCc77YnLzrP8zEgsqDSfxR8aUh
J5fUdxaWEFxceu0nMGSLPJYWXbKDxyn1ckWgUJBHtg+g6ypucgzgpDD47icDZe96tkQ++EfhL4w5
l9m4nZMuhFRkQimS58q2F1gTUyWgHfuOE9+PjmfkXwfLhSuBkRvKfA8vvDi24waC0Zxc4jt9G/69
t5IWc5lYTRLeegFphAez2+z3dhDOZJR6/RV4/n6LzCYM1vNclZMDw9lJ3BNGZ/JpyTMCVJyUbQXz
fArD9RD0GdCFqsl662ausdZflYL44wgYPUnwriimq20zqjd9PZnO0TEn/N153Mfbe7IpG19vFeIo
E2a1OPjWpWgiz00buj4GbBcR6s03qtJLOPHKQrJso9Qje84p3sd+pnfdqs5r4iSGTFGu25VxNITl
dexaes1BocyS7rTTEeggkQNBOE1swOQOS6vRvCfK7qM3E+EVHNpFiZ3nF0vR/fDyXm/RJ5R5Msfe
OtWwJSO5yvYNbrDsshFjpTeVCWVNk3qZKWHsDhGwAOfWYf2K8l+On7XmeKFMlH2VTNPUTk1UBIn8
CGx3o5lfB6PmbVdmyq4GrNsAqI1CmsoXrp3fphsgO71rV1Y0cDos1wnaJlqbNq6OUHvyaOnMTHOX
o8q8rDqzNkPwRnpJ5S4nGyz2BqHdJfRH6weoUq+xIsOXSA4IdU75Y24dolwGPUeHYwcvl8KtnEFp
gdeKUjiokIIGfyFpKcztH3rXrpTr5HabmKTdRmUHLv/CbzrBGXtg23paDCAWL3/A3NalBWWaBYJp
ORfSn/NTlmWaCwRV79X6c5xvCZ9wzmjAK0rLO7RkMEd6N0ep2dnEKu1mdYOrlqAPT0w7eKvrCZHT
G1+p2iGvCSRuGqbhWvrwfIT5F3vaVa8VbCtFCzuw2wi/Ype2xstV7MQy8s3R13zplaq1YceF2f51
yrNqp24RpCFJTtCbcGzlw2r11kKKY9BExlqL7ylq8+9bJaGwaN14VfTl2oJU8RxUtuv5EwCZsIa+
E8+z+8rZ4W98dY4q/MLbCg+qDOoIsJzoH9uCFAhimWu7Pc5DYzxiOHtjGGGZH1nFFeEhIT3eO6eG
6zZ6T3/H4z7fQ2MK9kxJRFU0kyUVHIwqB0BRpXVb6m2jVYGYZwpiPLp9ZopHK76pSH30o7VbR1Pz
ISnf4w1mEfZau46EsOCLLnM+Oxc59C3NBZallLc3bCQX2PyBVRKekW7yCfX+N703TCltglCJQpBb
HYFfHQ5LIn5sI3w3vcGVyk66DUBjAR2Yte25JAnQtge9FsBPC+Wz1ktlGGYyQxCJiIobDoUBPx0j
yTu961aqekzLPrHmqY5i2QcnCZoc3CWQI63RVZ0YgPemBvJdRxnxtV+rHJZqb/C50Rtd+RAPpMk1
Tm1VEWutN9Cibsou0VIUOjtV+3mpJuDBHK9v6mhY7PSa0LzgAobRrPcRU6Vic0GY4lSIKhJF0CQX
eRB016kv61Tztitl6oRLI7zarCLfrXPi/oLLwrFWvTddlYwRfAWqLszqKHTS+XboK+fgj/n08Odn
ul/iL/boplKk4Vys02zxfS83p2PJbw5JeCpNQH0nj11drbfGUjVkwerFgSeSJjKlgN2VuiPM18Iw
w0bvW2wq3+LKyPas34x307Xfy9F8l1ix5muvlCwkizEglrrB8guROetp5W9ke2g9XtjqL9/8mpfR
KFAFniy/j99NhGe9r1NXz820p3W/qKuSUDdp2kO5z8HBQ0teaTTCldO66ULVkrV0FwjzrUsOw+lK
NF3wYDiwdf/8Zu6foP/9ZopQWTXLdaxXuWYlCgEQTgfMh93nrSQ6U3N8pWgB0sRxO/ZltPX+V3pH
d5WfPulduvJVdSYI5S4OQUyrTZxfdIOcvs8Cgq7e8ErNZmzf6jTebztJTDQch+Cq8lyp9boL+Gsv
XpnGzuWy9Vx8nKS0nSy7vQCpoveFEj+DBp59XENvA70+0H+z5tFaj3WGHuFAlnQ+aTVfoF68vPxg
mmOCOtMyskhkOQaJaRKmFMTvtG69qipbvYwO19wZx8Qiq+A6Ny3zjW23rnzl6n92Wn7x1qvCMs8R
9uJ5klfHI6jqbWdZtbzMiqnrz2zEpH2GpecRauOWS3O7Bw6SQ+LnXfXZtoRzlp69XfmOQaxVuJGh
QtPRIIazqt3FJpGTWOPDBtF9+9rEaybPNanYzUG6+fJNVI5zM5Ehdb1mZMOImNyscIOBkV6YVeZs
jylpaflDsXMqHussaIcjGzYHYmTVzweyJGXyJm+JvT/yXw/ZnbDjZvqmd9OVxQG6xs7eDcmnJLby
NxPQyVs7sxO9D6xQJXGNUbgN3dEishfzO7HhD6GV3OtduTLHsNdcK8Obi0hs6GxL27kiavI1kMY+
Ef7qVVFmGSmNKtkIx4i6FlbHVT+QLXMkcyHtjzM7hOTKC70y1equwet7WVZWF7qeMxFpYLSGd3KK
uTxvbZl80LtPypyTrjFg0F4U0URI8tGIt6cxt1+7T/vN/tV9UpYGlplksuhlEXmlzN6jqnbeBkSy
fVlyy3ils/m7P6FMOju2N7HbrjgNiyg8EKtdD7h66mm2X2UzjrZXNtW/eeSqag55QiInrySqOBuL
4izdxUIdZpSnrILcf0DRrddVIpPm5fNOUnoncV9y02rbQOjmPTERaX7AfKWgDYAjNALqIrI4jhvF
fB6F9coE/ZsnoYrofIGWc8ODS7xb549XYTm45yYIOfcHuV2aWuoC4e9//dlXzGVsLyNUBUwHIEG8
7smnsPP1rK3CVwp7WMMuIxw6j3zfHc9oroOLOLX0NitCFdJNGa1IIa00ypzAObfTWh2DMNPax5HM
8vLGmF5LGjeRoUdryq7NmOCpxtO850oZk0Nbkv/A0NvmnOKwO5PnrrU/FKqGboW6lg1hQdxAZt8Q
z3jTeXpdPKFq6JAV7iDcLD62+dxd50SJRoYr3mtNm6qELnb9dFqFwctuJcOpbcnaXsPSOeuNrlSp
GRZ97JpGFvnZ0N6gen3qEvK29QbfZ7hnFZR4fmJMtswiIiLKswzH+tLsSj0pqlBldMa6cJ5S9VmU
5Xl3bFPiSv1+OOldulKeS252pG424XGsiJk82/b8oe2LQq+pCC785Z1Jm3DsSqcOj/XUvSnKJsr7
Ru8jrkrp1pTYqiphIVWOkO6JPDYPW+m+MvPuP/8Xn1lVSTehzt9w+FFEw9SQqdIfWg+isN49Vz6w
G5CeYRrbDNdStR7qpCUXKu7rUE+QBpD65U0PCSsiZckNMVrtEZRBGfc3zVJkej5IoarppFfHBJkQ
hVnNpHsXD6gAXrkzP1u1v7jvqpbO8TaCm+okjcgkF9ONCRMeg1ECOPQRUlITZW64CSKX9rgzj+7a
fOjGwp3Acbbeeu5kaHanrSW+9Uvlu/YUxYHIfK0OvFBVeIvRWXA3xn271BMjkAkzkKd0KIb6qPVe
qDK8muBWL7BSAm361GOCWnPiWVLXs4Te3kPV4fVjIbcpbuWJZJj2VAXOfGxDR6vTLFQZHks2V7Si
kidr537NbodT2/G19NVCVeG1/uQM8cjgk4TdXA5Od9GQD/TKa/ebaneVr7GTStzwspYnO7fagyis
/IKOxFe9p6pUOxmYgWmKeDxNdlpdBIaBgWtxTL1PjyrCS9Camo4hxlODsoYY9P9h7ky668axbP1X
auW4GAUCRPdWVQ5I3itd9ZZluZlwuQv2JEiABMFf//aNyJcrQpWOyKccVDlz4rBNsUFzcM7Z+5vL
u04y9/yqe39p+pV4Y1gsJneINKoeSbuXhzrw172Y5MWWDJxHPKIQ6w7wqKQPQCa0XwQBavx1t/5i
T9555Se3rPYwDAK0W/DhU58Ur3M9YcmLmLnTju1McXuo5TYfeeHgLx6BU/S6e3+xKTNP2Q7olz0w
31fouHJPkFdvr7z4iy158RMss2SwhyDjHbjgdgbM9pWxyssWPN4uImIT3vrew67Fu/AzmavXaQnZ
yxa8aDf9VHRsOZRQz+TaV1WG9fh1xXsQ4n+/a+6QQRT1isBKGvrF9uwtiJWvk1ezl61fVY+U8miS
BYCvmaSbocWhKNBG98fD5QfHxJfdX13cTrQdmTqKouPrQ7X0dX8MgnbzMZkNdsE//jE/WCVfdoIV
K5g0cYOH4FRF+Up5mQ3b8rpOMPbS78tUhXRO4OplOdS5QhtYpsfw7XW3/mK6tg2WA/QzzgezgS9V
91OT27543cb3shNMm4S4nvP5sLbLeuzBEAIVVe+v2/ledoKFHuToffZAplV7d4xt+w4ENP7KT0pf
jPmqT/YRuZ6DURV4bN3WZGhJfV3bP6r6v7/6IEH9k6oA7ryP5qzZwcllJrzOuQkK6N9fvUiSbo4B
GzzUbqqynYOsqWCTn79qxLzsAVvigJTzXKojqKf7007M9tyQ4c98638wlV52gRXM+3hBs/KBz0Cm
xueAw9D4z3KEP7r6i40VhBukq4PWxyRC6nyNvo7d8PS61/JiV21jGhfgZ8gjfL6KDlwvdCe6arMf
Xnf5F/M07kY27mTWR276AQ24zSaqGxEDhPy6ufrS7stYtSCKN/qobZw2ml515JWRGH2xr8KIa3KB
4tJ9gu3v3A8xvK4hkb3s/AIMoi4qOenjfrY+an2cZEml/OsCAvpimjakq9weRvAf2+JymM0DWMh/
sjP9aCS+mKOEo6mI9X2SC7Q/NEN0kwz1m1cNlf/W8gUboWpmQ5JTsLnii8R00F1Xvl/eve76L3LG
g4mnBqgzeUzGeIOFemKTq7NU78/8BM+T8R+cdF/2c9VRaxLlC3HsTWQvQTFb+zsLTHh5gE5VFqey
33116/binzhc/3JU/Uc/9MX0Bd+vGNZm6nBs3Tw42HFXd9Qc2hazrjtWxdZ2Keh7wNWkA5uwt29N
mAd5Gjsjqv6Ig3XT9mm3t2s4VUWIis+MebTdDQQtrW3KmrB7nyLIMdNNK2JlbldbAGN3AoZNgpk3
710Z1SlhumYlSM/SIBACotSYlOtpLD+bueoXIJpbWfcntrewe84DDvSyzMO0gjwOvnGzvYWFnF+B
N2yB+IHNd6g3EM1jvUQiSXWANXx7GZtWwPq+R87S9Sl0Bd2CG7RyHN4Z2uMg08hG/dybHv8ZLF9A
1gXafRlI7sPaZuvqaX2xhwWIS8TIzA6fRyRt5QI4YExin3IlyurjUCet/grUIkA/EHLu4wxM3Fw3
4cO5Se/S7H3YwECHdWHmfW3jNpcQThaHHSUbeohosdmsUBhpOluFD7zP6bpzch2rVehjzZe9hy5s
GsMlKAFnVKtZxW1DllrlpGaeZZUUE6Iw1atc9TDATbepFNOA/s1mrMrcaZz3ZYYMyVaOuLNpmGWq
qJDQjaz1RZFIhI1YS0S/XOFrjRXgnQqRXarjqOvzpR/op8n1Ivdh3+TXpd4DO5p55O3dPlMlnquJ
SnnHXMHYzV5UainzbodGJTlqv8RwRNiFXLpbKDQUvpepa4ObK8muy+VI4GqMaKwn495eBsE2D/Z8
X49lNq5IBp8kFEj6Kd7kZkPWDQlIYqWKzjaQ3dINPoKKZUfTFhx05LIuh4BvCU405Uik0ZNoBwWg
IbjWR9FWQzaKzfczsikhsus5slztNVlse/Az1qg7MZZL87RttBwUhsNIl2PDuN2ysawSCpfYKnQ5
zjWV+qgcG8Zrve04+FWcLNuceuOQzE+14pIignKOMQYgNGPNm7hVswCut2i364H6GFlt4uCttqPM
7NYS2i0SLAjefSVgska65QvtImhm5lUm5i0Iu7HKq8Ly5gvOPqrDpOmTcc1tw0d71y6kFE9oz5r6
YxMkZEJ6JCO/2nlE25u48u3+rR66cYFiBsz55G7CpK0Og6kCPZk+bqb3VdQrAmZ20paCp7JPtLkj
zrXxl6QpChXSotR9eeH9uvIrMtfJ+KHxAsB5eN4TqNFLz2INa2cuuq+FAye1BPG7VV84E5N5D3X5
XmWoLmHvgs5jDLfo6rMK/3iMkq9jM6/7qacmhKd2J3GcmQoz6WuTYJhfli3d75wm5ZHQSTX3al6k
OBBVm+pxaqttf/AQeNAIlWj4Bqj87EQsTta7Yfi5ReWmum7ExMLFODZdcTFRHc/Xy6QlzZqEJfSj
EjTR32LQhe8gIY+uUEbav0La0qeN52VewiAoyrd6V/4KDIl1B6VVsA+drhOdmw5KxzcyVN1wF5dF
HZ9Ak17CIZqqZrvUYSbiQoqtJe+JKNrisZp0aTITXARPxAb8b4hoegGQ37pbPt9asjtyYkaY7h3A
HcV4v3AtqyOp2lHmbmtWrJ2eq7k6on86nm9B5xVfO3gCDFmBlKG/rzYyYympxs0fBB+B7c0JqlXr
ddvA4PhYlIuBvCaSa/lUKauTU2+MEWCYRrP4UlW6MVk52NY1qRriggB0lLDtZLveutx5SqLcWeBp
06HbvfnInMYd5Bx4VtgZbriLOirtDCJ9ZIfDcLbkSWFot7d3k4cw7cDN7D9RErwAXq0E4zEDCkLc
IlwqvxeYwjJruor2YOZ6Pr4PE/iMMDjqe1iepazd9/rkHVSyTwF8uhkw6MnJDev9bvw4po3DNu1T
ZLxX+9UvK+PPQHDM2BBauNXoxw5XOX9I45b5AIgjKp1AWdOep9B+Dvyi07FuD+tasg5s0tip/dpv
tkTWYgPGSl+SIiBGhJKtqk4WlLUo3QFCjd4K3s40rxKxRMCtr7HOZdj35nkmO2suV7d7fbH0Y1Tk
k6dFuGGA5TwQkGTrt8gc0dCmddc5fYRrfOmudIsTzF1ASkwdk7bGfueKgk/o806q7aYvSdNm4z7H
LkvMLIGTFrMtag/13G7jR0faHmKMIXEOTGoi6eWIknFzN8LprgZyPCQA6MBXPJ38rONTzLR199xO
0fCZ1pvqbkTHLMbYUPVd9Y11asdI6GHZZg9jqer1iCfbmgPv28S+E+1aFVe2rBt2gohWdLfLTAH4
OmA56kQOLhMrvu+wSoanua0afmnHuizR2wwFFsaIgo/SVdW4YC6BCGfoGaboISYHa0A9TFcXBvoW
P1OB4VuBk9zBNB6adE2rMckm2C+C0oz1qci2wmxvGyocu1TaQOvChwHNqv06qygLZnFAys2j3yAg
WWWcoaCgqgfcLuf34OSW9WU00ASVo7poo+Wp7/dxuELrbrUjKhr27St2DQu4t60Jid+cKzWMZKya
5H67E530FivxHoqTavDpYTQrQDe78ViQp3vQL+x8Iq7S7nJzQvPzzr1V8AQo8RqtTZ3GLCfwqyv3
pcym2ofwhumt0ymoaUocZdJjfUtb5pv5nrhYTZ/32ZoEVGS3bvwUEka2uwSjv/rQ2A0IGjwkG4v7
Fukw/6havMSrnTbzBpj1wh1Q7lCYl3i5gKsf/C6lLxE8uXHHx5zL9bj6NurfyTi4/mHFO1uvpgZt
offNWld1ljTVaD9sRlL+sacyqD6FQxgZDN4U68pvAzxTyQNc6xP9eYTzSvtp6qaW4nwFQ0SW9Q1t
5GUvwXxH/FYRJcZ0ipaArbDbsH0g2oNlrIj4KnMLk4YxoEdPRl/gKh8SgICxgJ/2ZWqf5ILxfWiJ
70RWbztyrr0ckvecoi8iY0EVTYazaCJBRBzlckE7ycWaso30052ppgqS4xj2nUejm268Bd7Zg88s
oMD63IwTCMI8rpP1Ph7IDP9d1Fn1U6IGXx1BMY7nh4lW7IOyoLzkNimQClB15MRdGEwhj2RuPL1H
/YkNjx1AwPt13AzTiAUzwdxAWzwa1dQFIOl2vi36TpstU0lSPgR0vkRgg9f9+mh3P0EQDd0r9Rls
DIs2kzquzX1rkWMCX7vspgML0NV2R0jU4oMq2DDkMykovkRddfFtspgzyVXYc/Cj0FpZlZlWK6d5
v0wkXtJ238L7RnVwTUr3HqrFJwNxG3surRhv5mFBxJVVZRNlcQNXuJBhdV9T6QVz7+kC24PLUniD
/V5uBGE6g4DXOBCsk8idatwCebOMg5MZ5WLK2wAk9kW7Yap/5ASg8COVbReDTDLD8ixOaqZy1qE9
OLUs3o8am5F36czBG79b0Dqlh6wXvexuWluEexXOANR93tm1VaolBwWCzYZtFCFHPu8Jln3frVF5
asXA3dPSFfH6OMxLnKFGMtFPoStAuC98Ba62OVMzW6hoRmTa03lrqsvKGRhrJNBVY7Nl2b47bdIR
MCSRu5nQyxLxwHug5Nl1CSulPhW6mWxWxVSU8Gw1NB3HpBFXypfhWwL1T3NLMXX6i72xu76dIjo/
EA+LVxyBmLsphaI7Yqc4mR/WyKBt120yE5CR36KeA7E24KUMbuSQId+GWdF3o4/KQ0sb0aZ9v7nr
te30fenhoJ+3GMYZ3xaf0aqoL5Mk0TeLKMNVGW/dp1CuzVvNujmriXjT8bl/xxs96LQkxqLtZOna
dko3Umtv0xLRbjgGoOrCpVhp+SzizVy5JiidYziLrN+XfTsOc8OvAtoXk3c+UvJt2Xl0LeTUDTK6
LHq5+i4tMHIVZPKhIt9qVwT3jnMhQrrW/abQyhmvPuT12Q/g1IVth22KmuNgQNadJktxjqnZ2OSl
WOPoao0TqLEhK/Xkaq7iQt/ZaAPTfYXOnzzvoqMi0yFZ3fWSGF5+QuTaTwfuaARWe23q5KbZ1g6w
13JYu9THZlbPbOkMuZ/YwswBNg1hgCUB0OGnMVp19zGqwBJuMh5qXudAs1cuXXiNUFS7RdbZ3CFG
8WnBIsa6NPCw1F83xdl0s27jun8BlMojHKpADMfo7jC3uEkbCIaaA1x0Cnoxq65u3mwxzv6HcUhY
f3QS606OE00pT9O5/e4wyZ6ye4hqGn6N/lkW57HeuD7FkE1tP9doxu7vF+uUIVnQ5Vpd2ckyIlIY
iiiUR/eGduENjsaS4hSMls392trOYl2oBunjW9NjSr5tcVj1H1ve6lMC3jYOyL2XH2PL2uhTjwIr
jsnbyEFcRBK6yjA6ECylxbJidbfzsuVrX87qvYCm3z0rj7X9g7WTpk3O5RRhvyoGHq1vhd+brUwj
gNtZCmL73Ge6YB29s7vaws8J5P7dt7mGmu2gGmALH0NXbRqGA3ycH8B45u12GICRhxdIDZz9g8As
w4pI2DwpLE/VJpEsrAbImi8bRip/ydqqJX2e7DNCgLQTQpSwgR9x/kDE10xZWM05FgHGxfk3jZvn
0l/otmzn585G43ocm8jpk7V64fhiu/ZzPtFuWz+1mkOLJCqg4j85307r0ZSkjzLdLvF1PZWFyCYU
wt1NaJqkxCeRNcSAFln2bDbrhKB0ErCTeV52uORCID0VN2NJpwtfbOpxYjQ4RAd838196LoOzPpN
pRCFlQsDX0w14zF4xUNWAqe6nHZmcUCr9CJT6/wYmdQtzts3Mvay+nkF2kQd9paQKhf+vK+mpQVj
4rJAmH1Tw5oLo47FPbsqGvBZr00Zxvda4SXkzLkk7lJSo+Xh2XZ7EyFKDSS62HaM6wvEAbG8ctgC
ms/es/oCR4BYfxxhcS6rjOuS1I9m5VUFS+i4F/WSYpBxlimsqgGnuQjCuV1WcX2nGk/2bMaEf9fG
vD90RS0GTLViuRoJMhi3yFcw/qCGTbRXfp31F2RiPiD0cFQAqSLQAj6CEUMfB1oWn+Bn0dR52WNR
rJu5vXWOIDLbYTDiT51UVWb2AOAIZB3kspYz624nx2x3OxeLvV6MGZvPAES779HUWptvS4TPmGzy
uV2Sc3GnVdjbt8Q/C8QSLi/3CbE6+prclnZe9keIlbVIG+NLxAYoVa6A3akN+VqshBb5HdfceahM
QGBU50wPhN/zc4tgLKUcHegnpNK1vWGTmqIHJtHEh6YgOZTraRVl6Tp8lCUQC0V30dSHjTDVyEOj
RP2mnMCGP8RQr0w/bytt1yyqkLn6BK8G0HBnrmxyGCoaKIZmTd/ONc4jF2FobEobLKAmXZcZFLuS
LtVXxXtLn5lfqjULvY1x2pFJt25ps6ou+ljXcfFFnUOTS7VBZf4uCPPdtZ1LEO7qKUYw2yftcqnB
BFGZFnP/feSYsqkCsiMDFoQkh04n6pfkX8t2vISgDvC3LBIcZQBVP25UevnBlJGG/rjWBTKDke7h
jGQNLApyBCW9v+JiHL923cZirHNJ1QzPcGrTTUbnyrPLxiXhG47O5X49d7T43lfdrjn432GlN33l
k+ldVBDBv8dAZvBvOFpWyIw0Jb/R49xi7SBVyGgZT/5h1oU00HWgtpSUoiQPdSQEstkIPcg19zAU
Pep1FjTf3E7YYRWrXdOuX7a38ESOk/dm1uubKErse1XI+B16P9x+MRYQAV1GIw7GW9dv60EkCoa+
e7Oa93jn7fUQt2hrEw0A3PA4ScbTWGk9ZdwMvU9NVLQfoNTd0olDvGVM4sX1vJnoQQq/3Qq9V+o4
FrBeOHQ8bBcTsBIXsenIKQGTGWvewOxzpUse7k05Qj28rvD7Sfm0FO6tX2Dx+gkGIjic2eCT6gNS
w0ymYg14D9Q3DZYFzWI2IuKQ0B8r4t5Vm0CQyJBKKEtEGQ2PYA8r9yif0QbPD1yVyJt44NXBKZHz
Xl9QQ8wz7Neb9pGqESLwDQSGxxo3krJ6jc2SYdkOzqczcmPs3rSVTDJmcDvvxrHw47GZiqbKaCKN
/3LudT2NQ9f315uUe4ef0Ub2sY0T392zUnoEbKFmR6VMNF6ihVL6N0hFDwcsE8NwnDlvbE6rtYvR
Lgcw7GH0BIsI/DGu8C2QjigMHw2O2x5Ny2sI7tFGVbNmA1/i7iqK1n6/gP3Y/i3iwCalHdCQ1+U+
bpg+hcLraD05tDpZsmly/oqNMQLOqh6ug6n4I7qXJygE4O+IPAeMGlgiiw/Rjnbyo4JCJrxDnmlb
sRFZEn9zai6pBAOn3ZEesN1ihtOACkX9qdon22f4UhC8q7ZCZI4Vs1v7rJoKA/9ymBfpW1ikKZlp
L8xy2sZkUhcSDHCgUYtVqDqNOGwPj16z8ySMmrUsQVeccGLC4tPmzW61PzmIMnRKx811mMaod31f
sHcWJzM7UuYrHLUJOjF7msTPY4IILV+9nqtMJquA1seJ0D7XAjY1OYHffP2hQ0IjSfthqap3ZNux
epRRJOIrIeOeZ72mHc1HZMPWbBxWpLZSiKC2Mm8gLiT3iZlm9QZAkHpNA1ygzWEJBR/TQPcEEYw2
sfsazaAqpBxSD/0GLJtVXlTBePlV4KH8e4sAVdxwG3cySzrZ0oeu9ASmyQaHgqq2ff8YIOBvj7Sx
pA8ph9h+RQKzGvYSB3WHlAMG9YagEIz2YgJYW9vithpJvZ/ihGzDrTbI06bCMA+/dFPN3wlndXVH
92JAX1JB2uFyUWtEH6CblAJzama7R/1nCOYIfqOfj+h0M32Gqgpfvgy+txEAibtTp6hDOuUD6frz
FxI4+OTxrE0DMSoOYP3dgvxhm0Ff4eySwoslptdEUI7DJXfRcFmjz2L94mnQNi+EKNyFx3rt85kb
0x46xtSUUxBpXJtOcx+qI06Dnb4uEtivofmyO+PBQEsb86aq9XZVOCJVBp1IqXkOJwaCCVUXPerZ
KIWO5ZVYN7YjZnEmuUSSYES1fkJslyIPG7cpBKN7k08YBt0x2ZZ4+i5r3nYRzg5x4hh4tzAx+dm0
fQc9V4sKmcNm2iNOTLKom/WFoIaG7dTGiqlneEb37sbjaL8ZPHidNAlikI2N91zW3fY+wtPoKK1i
x8bleHazxoF0Vfua3C3nE/R1EY3thuAL/bIwmApFWd6HPrY4rMwLE5jgSYuclcxQa+E4rRLb6+Fr
HXC6Rm9fkD35Prs1mhAMSI4D0+igbVxBqxnnK6vHRd1zLB4lQkXV7N/aCtWIT03jx/aYlMkQebxd
wwawmMVcv0kQ7mMuUy0TfjQIjabvlUm4V6mLNdyavUwW9RQjP1cD/4L8v/ui52Rpn020jNHDWKLg
82Y9H1ThWBBURzO5TvA1hmzOzN2p6lH3wiBJDDvOEgcfcQBHcZmuoQAsuc921JBGnHTrWdYyJ1w4
de0NKkk3iK6VuEFYlNi3Q9e085UsmR9P0QIw+ydGSEEycY7ZjsvYR0vaSeqjm5HAnepNtNilxhoH
G/pMIzIeDmHp1XxXWwehS8+JXJ/2Di2NmSIWRZ6adQMsZuYycl+VsKZ4Yt5i8R/AN2jW/Srage9G
yApfw+7kTckC4ikgrrNYbm65DOOg2eWMLLu/6Fqxk2dkFTm/qltUAjNDejQAHKAnJrPKMTZ35LbO
GbXoOM2ULhkTfROlmHO3wtiQoNbIYY9xJDFaq6djHcWo94gBJZ6QdkCsqTRMm+H5XEmeXLpt0ful
SbaIDLB0o37RyOmVYKWNi46bGx7P1j5zC1f177JMlv4GgW0tjx2vFv3We5Rm8q5UTQl1IhrSHuph
6MR1UXZD+9YrvJjrQFVrr8gCpM7tinulIJqHnT80i+zLq62ZdfsOB726WDOyIFqe8mZUPdLWCTza
apItmMwmyuD9IYLJUQeUSh9btAOeLYzlRzgYEhtnWsMAsz/0KAXZ5YQAbMaLdbIx8wP26QGJZzTj
oJSG2E2HtwyvHeIqzat2f4fqSbEdV8zko953eYNDtIiuaVRoBHaCwL2Onst4il6QRghz0TZy4jd7
N0J5HdMwuo++XjRMK9oF1iFHV5otVGnsBZeocVI0XZHJqjUTSGzYT/0Ky/qHEbYLlh7PVq8xchob
B9xdzbtem0z33rd56OczUc5ZccfnIhlOCZS8/nIazMLycg1muKEWPjVIkRLUW8cwy+VYI4kfp5GN
4+iIGqWr806VGsdOM1mDCIn1Nfu8SVDkr4u9bLZHWDIkDrn3qpj3b2zgrPxi2pF0J8IgdTwRZH2n
W7gGzO6pgyU1YpuBJ9tNnEQ2/Bwm3pibEMrIIsG3UZXtGuFIivzygtpKbS2a/SaX3C6ktz5zAeDQ
04xbaPJlp7TN0BsvUDNPknN77aqOGp3Nd90KMvA74tvS3s5uj4crCezdfv7asoDWQbsAMryVSfMF
ab6I5Q1XkbEwa8V5JrMDRnt/QGTdYoPEQno+5vvZ+HsdzSvLQhTFMyaLmmbIJQw/v0FtkK5CJDFz
fW/l2kWwG6hl/W0574/f5AL7BGjJeXmaRh3ilGC9696yeaYOc6/k/eRSoyxU1UgxARQlK1KTnFEe
ob2GlVNxRyvp/BHLKLwQ126o1++u2cx2M+6y5+/nbREJDi9Ts1yFIPftvZK9We/PHo7s0vZLkfYw
u5lSRKPlOVluthV7LgqYDyoELa9sBaXBHQolPQTviI13pLamFlkrDnBlwt1nCFcnlUJYRP1hE6ZF
1m6eqke0ScSIiFZAmR8bdDZiXwRjA96NelWFfpaGaHSaDwT1rPViKOZpdGkNvV+Sjgp9BCxD7Xte
viORVCJ5i4QNcZ+RrdjrKBUO4WuTcqyyDjnEboTaI4VJPc6dxw3yUMCBhi0R1UcorMMyp4sHxGa6
6FfH6ybzE/zDEYcSsfE4n1mFVo783+3sYM8bcXWBShVzGUFHkE0j5aYig1Eye8fwr6Pr1VelOenq
nPstcfzezHnNTIr7kdr5gGzBvqDJOiqi078Xy0a2YJPuEkbd25YT0YxLuoeK36NgNSy5KCD+fl0H
00v4nAjJ0I+D7Q5Ef2iSJ7EeX9cDdG5r+o2ui3dsRbkG12X1o0LSouavlNC8hM6NcGvURS3lEdsk
QRJJr+TWYrW2f6Lh/YFhFUoGv791pMKoQ0caKhMR5t9UjbW77n00wgPRzgYJJ7o2wAJIPdGHzSJ1
iwNWE5FsjDZ8pz9+feeuon/UbfSisaxEiWaro1keR9BMu7yGqOUWzYNThngN5UfU4tSfOA38qJnq
RZ/ZPFkMNfQUH2EIMMm3LozFkpsScW7usTPBnRT2Dx2i0i0Mf/KGf9Da9tKdqEF/GHYTyo9Cgcnh
YDtzmJBr/pMH+tHVX3SfGRD9rKw0R+dI/6Wd42evTPG6pjzyoj0UYfrUm7LgxwDsR1rN4VQvHXvl
xV90mLk4dsO4CH5EDvqAQmqdFjEyj388oH70Vl60hxbbWjuua3EsSWSxp69FGlfY/V939ReznbaG
oTsI74XuPbx5nQZlch/f/vHFfzBCX1oTiTnuvdkaDJdKavrNIqfkMyICBVdI0d6kZtmr/hIiJ25e
hedjL22KKlV6Cc8WfgQOlb9PptneNTHSq3/8QL8srv9gdr80KZJNYEgLlcmxV7pCBloPwaO4gv99
D7ETzwkib/yXIYkHcVGb5qnZ66cYI41fFrZeKpxVyuoAOuO3bWVAN6dOIiT79e7+4+v2f8rv48Ov
92H/+p/4/dfR4LBfVu7Fb//6NPb4/3+e/83f/87v/8VfL76Pd5/77/blX/rdv8F1//Zz88/u8+9+
c0Bc7sKb5fscHr/bpXN//Ke/3iEe4Hyhh7Ee3NP43y7xT/2lX57jhxf6t++/3NdTMN//6y+fv/X1
kOMYNddf3V/+9kenb//1FyrRzPObj/73m/rlef7oGt1nPPbyDRen4ieuEkaZkjj5n3/95d+6cYBz
wy9/LNlPipOYqliSX35h5v7H797Rj97CHz/g/3vZvw6Hv9/4797mHz3Ar+/nl5cg9HlO4qZeXOv/
4yUw8pNK0KavKWb9b5+e/5TEQhFN/vZyfv1BvxlM/9NPz6g4y8r/paeP459ILGJCzjY/v3169VNC
JID0ZzHv/66PDh/Ps3/tv/bY+qeEU6IY178ObUQ5v3168VNMlGboJfz11//UyP+K8q07L0+wGhx+
O/3jc/D5z7yCF1f4zeSnP0GRywlV9NdXQH//CvRPEP4LSRjOJOdf/+vGQQwN+786Dqj+KdYKebf/
y9zV9qYNA+G/Eu3DPiLyQgBNq9TCtKotXbUx7fOVWMQlSSuHbOLf7zknpjikK5sjrXwDwnP2vZ97
vkLAtvxxlTCIhhFu+fKrpvOGbH8MxxeEENkpOtAKIpYOxFP2IsNGz1sBwB+gYxXH2yOMiefXm9OB
MPY5tXFjAoe5yMcZpR0AJuMB+orjaYSJiPr1v5xAS3zP4Q93FtB8wXde3RgwGWCoG+bUxXGt7S1n
OB6AyWiNHvk1H/7CGE6wmH3GNEtllnzi3EeK8iAre/UBE/2PAQ7yJXaY1oOcX9XQNUP5/ZnFap04
HnxpEklNp/l5s8Fj0hYtsyvz4aUUitQq3ekvds0yOZn9+O68SFJF3p2iRJSp5fNHPLvneUFH2eFe
C/6IX5aUGxidRPl8id8V9kKmpAwMw2JsI9yTK+wlqR0VZIAYuPH7zsgyp1VKWSenoyHfTHUlcUV5
XnnvKX/64F1TmebS4pA/CqeI4q5UrkkVqEg2NpPigC+nOWNDT7MWcDRFje0KfEP4X2GU/BLiyYBp
2Y6nPELKFX1BSbrrtiHg98CXLwkuJVt8CaJRH8K8q5JqlQqldoYL2kTj0PfNB52F4Ummf1cVD3Rv
cGpgXUC58vsrPVC5TclKUZsK1RX7m9xspOWwMKKHqxJX4CXlMvNuKakMFnOkKapcwb9vcbTf5VrC
CI1BhuC/i/KHKLfehSjWlBkwvfo6H3Jd/YLgzOGwtsrS8abyckX/jA5DRdZpxj6ddcZ+tFbMuHHQ
gytHVKacCo+KxLuVq8d7SBc3qfC2POQ/Wvt9n89lXPdxrqri5fCEmb5+3IujlLjdaqcDgMZVI551
7bqHpZJPla1BDXgP1junBFmSFgetIYxL+ikyaRbNtqBp6eGSrhu5BQUWdQudG597YNOCCuZTB3gP
bFqINXIc2llWAc7w2ntIJuciS9tMb0oSV6bP9/Y2l5aHrlfPc4RcScwQsRIJ7bHT7Lqq6sGIZ2lK
260sjyigi3SC04Ue5KvjDG14I4YfWvcbCj1EmiuEghfxe1ChpYBprds5PsYMoCGA5+a4CvmGEvDH
4DBzxpGPv6vEw2mAE65hEIQ8FMmVTLc/8s4RL17UZHSAoeiewBhx/BCEI8xheW0hXfXm/kj+uAo1
R+1dP7NLbH5ilQlSZ78BAAD//w==</cx:binary>
              </cx:geoCache>
            </cx:geography>
          </cx:layoutPr>
        </cx:series>
      </cx:plotAreaRegion>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_xlchart.v5.10</cx:f>
        <cx:nf>_xlchart.v5.9</cx:nf>
      </cx:strDim>
      <cx:numDim type="colorVal">
        <cx:f>_xlchart.v5.12</cx:f>
        <cx:nf>_xlchart.v5.11</cx:nf>
      </cx:numDim>
    </cx:data>
  </cx:chartData>
  <cx:chart>
    <cx:plotArea>
      <cx:plotAreaRegion>
        <cx:series layoutId="regionMap" uniqueId="{E3DB55BE-000A-F24B-98CF-F1900DFC6806}">
          <cx:tx>
            <cx:txData>
              <cx:f>_xlchart.v5.11</cx:f>
              <cx:v>Column2</cx:v>
            </cx:txData>
          </cx:tx>
          <cx:dataPt idx="1"/>
          <cx:dataPt idx="4"/>
          <cx:dataPt idx="5"/>
          <cx:dataId val="0"/>
          <cx:layoutPr>
            <cx:regionLabelLayout val="bestFitOnly"/>
            <cx:geography viewedRegionType="countryRegion" cultureLanguage="en-GB" cultureRegion="IN" attribution="Powered by Bing">
              <cx:geoCache provider="{E9337A44-BEBE-4D9F-B70C-5C5E7DAFC167}">
                <cx:binary>1HvZkty4te2vKPrZrAYxw3HsiAuSmVlzqqqkkvTCKNVAEgQJDgCnrz+7Wuo+LVn2ue7ruGErpFBk
ggRB7GmttZH/9bj8+dE+Pwxvlsa2458fl7/8VHrf/fnnn8fH8rl5GE+a6nFwo3vxJ4+u+dm9vFSP
zz8/DQ9z1RY/YxTTnx/Lh8E/Lz/99b9gtuLZXbjHB1+59m14Htab5zFYP/6DsR8OvXl4aqo2rUY/
VI8+/stPNw/mYfTlQ/vTm+fWV369W7vnv/z0zWU/vfn5+8n+5sFvLKzNhye4F/MTJinBRAr15c9P
b6xri6/DgpxIhmIsY4F++cN+ffTVQwO3/7aiP705bZ+qh19Hf7SwX5b18PQ0PI8jvNov//9ohm9e
By44++nNowutf93HArb0Lz99fVQ1uuTLQOJe3+X06peX//lbC/z1v777Arbju29+Z6Tv9+5/G/ob
G909NJV9c/XwFP7RXvxzRorjExTzGCEpv7WOPKFIIIyY+PVhX8zyP4v4w3b5wRTfGeYOtvs/yDDH
0JqHz7/u048c9J8zCkEnkuKYKQyb//uQYSc05hIp9DWiyK/P/GKbL+v4w3b57vbvbHLU/1E2uXyA
tPkwln74h5njnzNMrE4ow0gSpr7krPhb+/CTGElFMP2a8L5Lab9b0x820o/m+M5Sl4f/KEsdHob1
of0XWgmrk1jJWFHY/t9HDz8hFGGKqPxiPP5t9Hxdxx+2zPf3f2eVw81/lFX2wUD8+F+36P89qWF8
whXmnKGvwaG+tU58wpRAjDD8Zfy7uvN1PX/YOt/f/5119v/eUODHxfD3SO2bK/5ZpIZPYNsZwhJ/
iQz8rWnUCeGEC0TYl+HvTPMDePbtan4Mz77e9s2l/94A7P559G/0c1s82H9hXLziYBozJL4t9lKc
KIG5ouTHxeR3i/nDQfGjOb4LjPv/rLKfPtuy+hcaR55wSohCnP+w4IuTOGZUSBZ/MdJ3JeWX1fxh
63x793d2SS/+/5aTv89rfuOA6YN/yH4hj7+jNv949FdO9N2t/4iDfkl6p09/+UlQgGFcxhhD+GDC
Ygxw7DeK+jrl13m+oOP0AWj1m4f2CShUAZT88DA92+rN/4Ev0ofmof1lKK1+I1d/9xHPwJTh6eQE
YwFQL6YMgheW8dObGRIEjAB8FxDQTBBBEOWv1Kp1gy+BE6MTQUmMFQzAsjmCIji68HUIUcphPnid
1ynlb4z/6OxauPa3rfz6+U0bmqOrWj/+5aeYANjpvlz3deFSEgoCAok5xUwoWET3+HADssLr5X/q
czObgm80y+d3YXWX6i7eFbuSJEOlqzyRJqnYDo035F27aBWSzbwb+2pXNff54tMqjxI50QTVzSeV
T2ldHspm1CHaCTnsp07qfGxOS/l5XWhadoXRoboP8ydc+SxaB67Rdku6SM94vSblsCPRWSdfhiWx
h5zfTfiqeCpbq1t2sfpat/OlG0KS85em5Uk9YF1Guor5KTO+0QrFV1PTpuscJbZc9w2vjeZLSBZq
dizaI26GnYl9kbhgr5byU6s2zdv5M1Ltu9Gjt02/lWlVCKkZWbtsFCah7aO311xOXoep9jo2oybF
rG3Z62HVs8DH2Jjbwm6nhAw7tOJDRJuzGnGb8OaCLLFJxq67HsNQ674Y0hBFGTfoaGOrl84YHRH3
zAJtk7anH5GJ9mCmbHJF5lShTT7v6FjvVromg19Sw4fU1uMlqfzRc3IV5+SxFvy4OFjrvK5MdzF+
v1TrOxdtO9yorKDUaCNprEsuGs0nmLUoq2PRdEH3ahw1ldVVP86JWS5/FzY/8q0YeOa3vgVxB+oA
EnEsqOD8O9+qJzQulYtUtmzNu8FHLqF0PC4TO5Qzz4BB9akV/MzX7d5216xZ9iym576RIV0RmXQz
Tq3Oc3XKK3uoI7SrwrwbTJ3rkJMjmdxuWdgtoWzQxoxpT6rzvj1Hge6Hrj2P110cyaxdO91V21tm
y4MUczbE6sqDCbu1eqEDu2H1xwi2OQ8sqYZmV5h6V8RlMgw+7WeSOjNeSCVSvLi0GKJDt6HjwIbd
ROhxReqC0+JyWYNWS7NvSn9nujwBl9xv6ozGnzibtNnCWc+3K+TmVkeu6LUQS6kVeGW9trtuqi5k
eyl6u4/yQbNGfm78erAWHYp5LCCWRpTUYbvYFp9JmT+sHdu5NugGJtQBVaOO4vUM0sU9xsWVae/w
MFwOOT2M8XzXLp82w5bzDq8uMW0sPvY5CToq7YfIkKzs4j034CIzp7uYq0NPhie0wBqnZr0u1pBr
mTuWKk/CeT/3uuPbp3/sJpj+wEuIUAS0JcCVigK++X0G2hyS9TC3ecZd/VxE4T6H7cuH+FM/lMk2
DWexGG76vL7awnRdjMOpmZerqqI6rsd+53txUTNlUjN2p8OmrkvcQO7yN6NUbVr6+mjK6aVj7f/i
3VDev1s3h8wN/g0JHAoMEHr07brHrrfdFJs868UgtMHkLK9hwcwlS9isHizTuS3l3kNe7Ap+iBpI
Un0cHrDYLV2770u7ahFtTA/9vCWdEOCzBc4crg4iGKwxt1drNd1CYt0TuxwrE267KH63kSJtBvxU
sOW2oaPOifSpKwev86qGB3PvskVKSI0TfkGhDLrwProgzezBGTuvbTfflNN0nGU473he6Iq3l+WU
mx3n6lMvtliTerrjsb2eLN10YN1LG5kyY6S7m330okpiE1nxFx7Z25GbD81W7YdptDsWv3S22pdL
kagWVlD0p8NI9SZV4kv2fm7iPZGz0mL4PJfR6VpJ7Zo5G2NdoDlBU5lUNbtvO6znqjzQfMka5i9R
VB1HD9WjQzg1Uh2iuK11GcK9Gfy7HmHI4/TDVvfvimq5Drjd0in4ZIv8gZg+6Qt0YH17y8r5gIpN
t9485qi7taU/C5ikHEO8G5ZyI49Fi05dNx9nKlNs5W0T40mHhqcBqUzFKqkKtitKtAPTX6DYZvM0
Q5Wp7u3SHyYRMi+6hK2XyF34fMvGle28sokVlY7HD2a7zTlJ6kqmZThXXX1q2vx+gC3cr6KoEpPH
u75t9rLesnJuGz0Q/1KXZbJ4fgyIpv1gPvbN5rUaTXvA2KJkI7TXhgt/bxrx1hVk0FHfp+0wz1p1
07Fi5rG3dNIRfqlkc5pH6p6OVueRe5JFtOvC1mrn8osWwlCryR19Xx/wxnbGdbfNzG/qwpxTvM7p
lnPdb2xNIhvD/T5VLuxGM6d5MbZQmT4YPB/IshyaUCpdt1Wjc9+8I2X7oRjZxTKQ99ZLpxn/wLb+
bmmCz8CrT/tcvGyYnOeh5Nk8Bq5tXJyvCxc6+HVNh0LajNHtoi6ganF33fQAL8SAHui42QzPw40j
60Pdl62ug/+ALCl13HKXVGo9DtS/mzZ5Nomu1ARVWVSf1pi95yJuEx8vCS7NXTzyDwGHc7Qsn5tl
UzpqbRpbcojmJV0QOja8SGuWv2/8rOVQJwNVNzxEl0X9ces37WRIVF5ejVP1ljRbtoK3U9O9bBXW
K+zYsqjbZSX3uK/2zm+nQ9zf5NHnqZYvakOflmLRBV52cVCPhuK0asSUFIzd5Oq5EVAyVEajq0Fe
dfEVI9dtuDFTdRyiJg2k05zcTCvW3sh3zTImNaAOt/mk5URP3ZJi81xX676dZVaPH4S6m1mpq4Vq
Yl9UVaYx/hiKW1E0ey4HLenbqBl0Mc43LmBwl+jSoJsFV50utwuUWy1Wqj3UqIrT00HsGG2yuqq1
Mhzqw3U8PyrWJY0gH3yQmq8Q1zX+INWxWeZE2LeoCJWGXHnf57hOQsXSovo8j+OuCS+LcUnTqc8L
IXanpvFz1PFDNRSHuoqfptn4JKiy0bVT6drXhWZqTvHaa6+cPDVlLXQ0qTGVRfO+WqMiW/BKn6IB
x1pGMnVEyN3stnM2tHdl0Yt0M/GdqqOPbl3vXb3dbYs5brkXydQNVUJaQk8LX9ustbLNBG9DOs0t
aBXbXm7i4KNR86YaEiQBThXlchvRvtAD6rIZUd2Y+cFzgMPxcMrnPE6Cb/XGxedmms7UXD7LNdyp
tuuS3uCDMWuRuhGgicqbOssFMhpHeWomf2fJBtCuyQCoX7iOvNTIJibeF56fUerS2A2X9dxB9qWX
Zc+u1tXvJelxSnNS7Aa6lprOLErnXlWpZ0OUjFT5zNbRqv9Ubjm2IgBM65g61tggDQjsrkLNh2Er
Wt24sgZvyG9IGZ/B3lRZrtZJ4y5ftRPCJ6INQaNIwkMafvsLOvhKE7+iyC+M5dF161AV5dc25W8f
/3rnGvj7S8vsf7789iPM8HXKVz73zYe/oZp/h0x+aZH+ncH/W6YZA18DtoZBCAPiRghgmb/PNC8e
nh7q8lcV4gsd+8EEX3ikRCcES9DXAIUBFmEKYNRXHolPGIlBepAgZQNpBIb3lUYScQJyEbRPCY2F
4lLA0FcaSUDLA2enMQLZgjAQJ/4ZGinZK5T/HxoZ4ZgCwkfw71sQRK13dVz78mBn0ewCLJ5r082F
SmTX9JMmqt3ORdTKfSDDeIY8E2cOS8AkE/fmau6gRutWrqxJxWKH9yzKw9Wo5Pq+M42iSVvJttsN
dQPApgL3vWk6M74VNaJLIkwjkSZicxUA06KIhgQAWZ6NBOVOj6bHxedJTlF3OjlHL0fMyJld4vlh
ytf2c1fWbMwGyNF717RDozdWqSKx08jRYV45/zSsdeE0cWpZ9yvyCGls7dSfji4C2tuvJTVp6GLT
nxnJq7dLJ1iRmG3o75gIzW2QYkl5HaY8WYDqfsRr3RyXJV6jZJlwPQHk2KzdQfYquSasRB97s9ZE
KxJB6lG1FzdLW01QLQ2ZHg2LljNlGnoWh6K4YRFrs15W+BYzE+5RPrBjE5XNjWhqvo88VQdqu20/
oaXN8oiL/GJinKSrY31GCg5Fgc+R3E1haCBz4VA+qnkBO0Z2LFVmMZ+AYdTzdt5FnLzM+bTcor7Y
nqu5aSadF13/ccM1vVZhNXFWjiYfkoaa4p2gdlp0CI0/lp1CV6sxC6S0pQOgG4p12te2gmJniml+
J2IevYecVFrNZ4HeyRCXq1a8X+usiiw6Sl7izyae+/2wyT6JsYecv6BiPIICEDnturYRWdPl6tyQ
2l+Ythx6DSSmPQjTV+MpbXo16Dpu/aeG1tGQMhrG56LJlzs2OUBII/U5FAcfyUTkQV66buBjAjKL
talXFO/r3ozqmqlg+8yvpl0SpiZa6jWyrrqcN7FUull7RzMztRHZNXQTz60hOQgetmd50pm22zLe
YxsnkWqM05CBu08bteUHhDv3WkGW9rphC5BFiJoVaspsm/nAWgEgFjYWNIyKNhXs3xRgnQQetKQV
W8sbFpf9ALvPiw/NSPKXynRiPRsszp/rnPuDNH2IHzs7oUaXA4+BSDT5Bi61MO92YiClO04WxxdQ
Vdsc+IqVp+U8j4+Bl0sWDV1oU1Q18HnEY3QRR5WrsykE9Ym6bTNHX048aLrkDFjZ2rzrfUGfVrZV
H5eizqUeVC66FHCgTWLkAFGiqKYJjdv5tCtF6XQJwBXpKuKcprjtrUyQq32cgE4RdqtCQN7LbZXP
aho4TutRxZkUlhk9LV68RSEfTyc+jZO2TYDqa9X4WQ1svDemRFd02bYdC6N3aVMuXOpuUNPbKKLj
/Tww4F1sdufbFve7yQLVA9JkOg6sKZ+yBitfAVsvaYa71sJeNK6o9Gam7n5txvq8jWtWgpTDRwIy
DXWnrS8WrEGR2TQDrwSNCM2u1CWbmJ6M4Bkf3fSoNuAJICMFAYRo3fylre16w9VWyp3LXZdnlq3L
vi8ito87i05FV4NsgMGMHwdVb08AOQqeYY+AYjQ+ugyiLC7VyOpSY0fFzdx01e00RaHRduLxKZr5
dqBjPtxUcp6uxwJzr/HcRmkBJ1s+OFeKbNrmcjfmeX7nA6SchDTFtjP1DPyUqQ7wskehTTYqzae2
mt21sQPLxr5Q2qhlOQ35sD2FlTiZrGXp4n1dA9ACrWkF24e6Kwmgj6L72Lmu/iiA4s5nisTEJWwR
A2AN5N+BdZZJo7WIr4Gmjslkfb+eRWyZRz3Lkai9k8aleRWFOkEjmTvwVeM+W0b4nacBnLBHQWFd
zL35FDvafWD9DDyz7wdnNQ7Usx3lGxA9V5u61V4MQFlxh7r3o4lNfYOlazyYhEDSKRDtUxK1CJ+X
ZkVzOsH2b5mofLRo3q3TcsB2Bmg4oHUk113fDZfFVuWVnlu11qkosLoaemE/L2VRvpTR4NJuRNVd
gQcgXsoSKDfC1nJvQH8tE1s4keVrDECwaEV1oC0KRRq5fjmjUw9aEVlzexbmiW8Jm2wzJtZ5d4UM
nsY0LsYinWS+HOeuJ1sarVG9n5oSncY+B7gqgqXJ0sRs2fWEmAsyxBFLsPPkgDpS7qflegjLVugS
zp91ehin7WI1XZeFpmmZRj1FddLzxnwWfd1mQK3O56WagzY2wF0OVvi2c2K8J1bOZz4CxJEUqweG
MdZoMtrNqEoLL9wZhA1z90299kZTPx4EB3FktBvXa2w/Wjmoc88bwA91r6guW2XPSjLHBYTL0Ndw
Si1nSEPaaSEPgZ47xDdELm9x7JSWaNqeLFQDKNQVwGWA6+fF5pZkbXIJKu7ob9o8TC8Uis+eFJ6c
EcUfxDDzdAvKHraZFAfsx/EdWRg5yJoJCF1rrfYyps99BRpM4uykjiGOya62c1iSTcjuLAaCm/G1
CodcxVuvSVUNQzpXZrnYSO8v2sKhVE15fWkZJPLMzG3f6Xgp3JpQGUdBex7ndVJOUbwfzaqM3qq+
Pt3g7NkNNtSeLeBqF1J6c76pip6DniN7XXVh/KDAz9KRtfKRrzluX0WQ/po2Vt60DRIH430bJ7TL
c42XCD8pcJg0H+P2bW8UyNF2q2jW1AU9IOa7d6hF1X4OYH6n+vJDA2SqAWG+3kbQhwqkY2HEVVsr
/hhXnqFsULNL+OC7T35QLNl87+96PI6PSxF3R+75ctkOZpXJXJviamSjyIgT5X5mv2iWtiMeMBcW
n5qNmDUBUX55x2lFQQOdm+I5L/vyuskjcmFCJ5rENhCFeu58DAXUhfBxoqvIxNRLIF1kQpAA8uKj
QDVI80U1LZ8iXkaf6kChkWG8Wd53wE/3pezENcjW5Ewtc/0C6x2OohjXz2oLldNbt44Az6rBdnoa
pL9T69yAujLOzKSkqCQoTWxd38pikDuxsvn9RjnfCdBsHuBUA0CNbqznQvsxB7EtH3w7JLgnxR5M
NV/EBXDJVFT58LYaCO8Bvrz2KPxmIVNht3ibdaEcqjNhouD2wQ9DftoNHhWpVAu3OxuX8RX0E0Dq
FfNUaDyiet1VUzPFehlkQXSFB3kOPYytSRxdRg90VYGMKje0kSTgnqskX+fh4+yrwaRDVSLQSDab
X1YcE5cyz8tT8BC1JSBD+oeiFFDUZibjm3oSsP+jDHTWRWPCAcNh1veUlv0NKKFjrQfgQzdmpSqd
4qlIIozEeTUyeR0vAT1XcS+tBi9ocQZ1F6QtgYOddS0HdrvaUJVZtQIk0PMwlm1WVFtXpXEEFOYo
WTPlu3li9CAsdi6tawqdJTu1EvR5KBXTJa7GLtdghaJIFuXEnsde3liLuz7d1CxBn1GWvpgmUixt
FYioikXrQyUj9CSlDeHg5g0qeQ2y/6uWb9pW96FfusQa02UWzsQmJbXFCy5cdeO3ziSr6uJqBxhz
a157KNkm3PA2yHZMBzFAimpHyXcroDaT0iXGmSqlhDwVapBE+Jg/qLnHN6gFiJEB6lVRMjSK2Wzp
+FIDvrbRiw3NBhgtDKdqgxfX29S7XZS3SzYIAmFCoS6n4NkhznqD3ANRfYePZipslk980fBpOTpk
uzVpOzdjjbohLzV4FU7ypi+Pua3pKallcV2jBiSflY8iBgaEQc8ayCynRMCUxTtTUVhTPJDufTcL
CZ0WldsXZyt8MxC71gB1ap7avA9pZKItFWEBIw9LdPBk8BnPSVckOQIEqNdiQGnRep+FDYEvdiD3
aoaK7qG00XBeLxsGgB9v2yHysXpZqcjXfR41YrmMTRXdTdEEs8hyZKeFkDVQMuCceA/tifzMgU8/
rla9Kr80Lm6gcneFJrhS59DEaE87j+pOL4sjexSNIZl6YXYCakhWDLjPQAWuF90asZ1SU0JnDoGa
q1wE8u86hktYND2Dc8zoA+CAPlO1and1XJEIgsY6LeZ8y0E97UGYASU3XUwdbhyF7o1uiHWg0ve2
122PqrcCgWYZd6oE+Uoqdo4aDHCK1XmGef4ZcKraI4jJDBrCYwZnCItPeGj85xXBsSgdVXGeFiuu
PxWjE2+LLR4XDezAnM0usvstappkLfxytyz5cS19/DFGtnzLqgHiEi8CGmqcLWeyn+YD7WxxznlX
w77z6kyWVoHSLCq2dzXC9/2wgfLoKsdfEXpDdiVCVaEFpV2jQY0HNFtX6DODFHOoAJZmNQTOeDm3
NoATESDHA/RjQcOqjE8LstlT5wKAaNRU7s4VgHgBwvEj5wu9pZsjp4KP0dGNjGQzd+OqC8Onuz7q
QBKDzItPeSFlJpapvIPQyz+WHG+Q2vLQQXosKsguYVKVti1qrqDrV56RvOTHiWI+6F7KtdKEo/qS
RSQcyqokVxXeFuhQt8ZcD7Yv1pShJkpLFMRp3hTrmObB+NsV2+pdsGE6qqhgjxC78TEuB/Xcj+W4
G5TJoa+KV2hFRzON77F3gOrj2pyynptLaI/6RaMJtIzGQ76qQsDQTJaNObVtKNPQNs0+lz1omipa
TnHHuzS3dDmPLLxsLWASUNrbHiBr4aBpakm4H6DUlfC03u4QdPbTCnl7CyKevPNliGq9hg6PuoMm
666vTZeUBC+XzkVxnLwiF5ZQUbZ3cRNDw4dO5ugofhFABqGT2NfjmC4h8hcrXcT71/KZTXUt2xu7
0Pk9h6IMttx6J3dhcv6ppsua/AnIue3yltgDWRkgGjssSwr9dhf0BkL49QYlJaRWGTQm/yp98PU3
Fb8qin/dP7vX0x3jt6rhF53wt6v+PUREOGZPJaavRz7+vnR4BqeWa/gZxtPv1cPf3flVM4SzYfDb
iljBOXD59YTJF81QEpD/4BzJL0oiedUFfz15wk6wFK8/xaBEQs+ewVGlr5Ihjl9PmsGxSyaYRAwY
+T8jGYKU841kKChXRIKkKRFMR0F7eh3/3ckT1CBT5NG67ZuYbkNiA3KtjlVMymwMLKgEsZzfj8WK
bDoOHE6MALaCmlSsQxGn44gp5LKun25nNCuiBQOK523UXMol+F08l/7GzWur29jB6QbWQE+nW211
KINrz2FBTdpQNx9mFfh8uTI5LxfcoeG8A/GnumYhAL9VnJRVaq0R5fkgxIgzUzp7Q1vPVr0167om
TGwEZ0uPWiCpotyIdqYCyh4KBm0OaYw8wAETNh1qaLDeTIH1h36NRJ3GS/uBtW5RScjj8AQvB+Ep
R+iv8IKEOzFyNifQALC5hrZpDri5g1Me0cxnBzwT0jGjfAJ1n/TC7apthj7AuOTVVeVjBLiq7GmT
FgLOK5zhOieAKUDfq+EsSJ0DNRAgRB/oBjgnywdaiUTxmS9JVbbRJxdypTSov9UFSBLmoW9CdTFi
RNF/s3cmy5LiWLd+IspAAoGmgPfN6buYYNEdkECiEQjE09/lkVlVmfnXX3ZrcAfXrHKWFuEnj7uL
rb3X+tbOdGjbWJwWgissTxo36kzReGA5+iYTp60tkvdybqePhtRzmLJpbH+S1aOfVRh7XuaNXXcu
VuEuy2yBNowRN306Ge4gNHRLvQ88Mt97q2cfJEbk71RVnsxqWaGjcf3svZs+dF5e9JBSdmFv2L1H
oqLLSVg2MFYwuaLNQEP43NLGuhSS7Thk4cq6NjNNEnyyzocVW3qYNtd4pMV28noOlz5e5Q5jm6BZ
1aHlTmVcr7j1YZSeAtF126DTNsfo3t93zuvuKzsMezq2/WMlE//aLyLyYKxLNedNFKFoR6r76ptx
uWL+pVPmekeytovrozeMZMPCusugh5rciMR2qJDa7cYQvV0bgVmpynp5i10BfafUfI++wLwuXSve
Qi470EdrMmcJWIp3VYzrU9Auy70uYTKF42Lh/PH5TgZJDW8nEpj9+voyBQ3fTvhZu7hZcKcFs94Z
MyY5qCP0Yga/0rwOZOM8sV68CZJ3WwzFMQjGdk9UxbeaMr2L/Eq9DkHYZW1CXxgNVeozsqSGd2lv
T5bgMUi5Ei6F71w/chvRg6jwTufJT3KRCHPqC/R+8I/cS1fqLmPTtBzpqGlaxavNep/hymdu4FkA
DdWmNSnK+yAK1gdKbJI7LZc7nHW664iEsFS1kf5M5nB8mIoOVMAUBU9rOa+vMC/ZvokTx7ez7GN4
EKAtXptKk7ewld1r3Y7TJ8Ys+Qo6D75cMu3DGj9b+oWYM1PDaXdE9R89UeZBqzD4OvMCVEdPYv5E
xORnumqEn0k1RQIOu2vqdJFUbmbqVvQ5jHydVzm6tPNM+EJIX96FtqnzYbbq21LK+C7B8PdFVp7Z
VCoqoN4wY6FlxMXedSI4CNU2P2IDly1twTZ06ehF7k7GGlQJZvjuk4g+eL0dhGe6xutnFc8zWqDZ
b17W3o8fnFru41agcV2qUQ1ZHAUz3qfX27xBzu6D0rLydlO4aIA9TVNc4RRNR4ca8VgsovyJyX+B
Km0X94YmtxnRV/ntnrIarTl0bbiPQ7tKfPO0v4k8hD1PXAckmyaxZmsTlY+DKvVXNoR4+u2kO5jj
XXPvC2ZJ1nE9pEOQLOeIlBB6oZutwGFGnoc+q9NQAPkgiT/AJ8UZGAbXb0vwi2MaFuFwXP2o7/Kh
gZSd62Ba941LYGhoV033SUAxT7Y1HpKORaHIkpGYx5I0/U60C7RmKybzJGELbBij/cGXnJ0oa4rH
sgnDj2LQ9VH7a/HFm82T36nlLMtppmBOnHzgA6sVhsRapNasBFwDLadDvQzEpYHnyCEIHD2zOkHv
19cVYA/Gq7s6WviVEyD1qA/ehA8COM3DzGDy7jFej0+FL5rnypbRFyK9eWNtGZ+CpPIfqJbzUYSc
nRti1VHUk8JIPVXdpq4Xfqe0c3vbLtGxlgN8L8g2mKihOAtvM5qRedtE9CLKZsb7Cx4F8sIq0z6U
vSxPZLTs6OAxf11Mz7966Ch3PffxO89gGH8E4wg+qRXk2QYi2ayhjjdJXyXnchi672VRzl95J1dY
wjQak6z2asgCq52HPVQwCeRnbDA1BPqzMC2gx1u3sUc/Sbe2p57LSYTRbSyW9iznmm7b/vaJOioq
TFBRux1X5w5VZesHLw49lg1+orqtWGrct0nH+yuHPQHtKogUkMbZzl892hRLWilSPFajmz6pjdR0
F9QTXOs2CWuL2zPWl0KAt9OTcA+DchI3+2CGB93Gimem5SYNlIzDrDa46rSdelxeltVXY5ZyG1eq
PVaRgRoYUkl+xGou0CqTafazggI65JGb+ZYQ67+wuBGvuLNrAQitG8FK8NZ+0bDrTvBWuh1nEX/h
sGKyAJO9zpJWljqryeSdGlGs/kFYo5+p7tGM96OB5td7fniqNNCRtvPh2y3RcBAGU1sKLaU9WjP3
p7GNyePiJ+QY8qreFsb3siApm3Rt1/l+1QYfCEfRTb14HN8i3refVWLXN38e2A5Suz4YdPC5XNHn
86IPzxgGCOYIZtjbSAa4tSMEUp5GZRgVBzl07CKqSlwx8tdvLQ/YBQ1bH+6KXk+w3wxvztxNyQdf
xZIugr37MCN3jtWwHW98rCjDNedDFz4DQqwPFVMN4GLagRTTsYlfJBsnvekaDpIsqpsPXfrzK0Hp
7MDZDd2JVwHfVOMKS7ZeCdT4pamOTLTTwTkgn2TsQRAWHnhRCjXQk1JkrZjtFwezVaaiDlnW0Lj+
SNygR3BkNNkPhZ9cqZsqkveBb38WkeGbaZHZgMZo43eCpgE1X7Xokv084/hPYx2doDI9h64YdjO3
T0EMc2gIG4DP4TBiULYJKpa0kb9bPANYs23K5kngmLz1i4+pvbDrXsyeVRvg2eKRrNwux8kDzQg1
tBvLjUaG8J2b0X3r4oSI1KGqj+nccFR1qQoz7VfoXlUGqAIMStnEJsPXvKYLaFaDst01H6JnMz5E
bm3qCK7PXSFJkK3VBDDSaTypvHVF3jrPu2eteG78Mr4vRViA/5Cxl7UUczkkvykPZLsUKIat97OL
lP881pLuZeNw9bblsC39KswaYenzHIIZknK7hvjrykQXo3z/rPw53MxqoOnCYUbGulIHFfg6i91S
3ptk7HKPBddYieDK0Cqn/eDPD0XfinO9NsG29oRXgdbCHZvOBamiLO7nOLdFS7aT4vIaLMtwLns1
1xvPVJHaQ9keL8OKZhFATsReYcTdRLSxrSiQIe2xU48G8XUqB5bkdAnL1x61DjeYix67eCYQfCd0
idug1w0cby/hXopUGk4nMNMraOvqvoxHj+GpcA6glVvWYzLY/t2A4XhJGubOrImLLg21Za+GtdED
il0ALKj3qw88wP6Wulmjhfaowm3a6Kd4XcpLV0cDKurYkpyvXXIkeOOfnFk15tVcxn1eo988aGjk
0DpWzQ3G+dH4+06NZEsNNdVeQVzXqJou8PLJRIWflg3p+2z1Fb6lsSxpFk4mFpsYGVaSDWvofb3Z
ok+6LKATj+jZ805pdQfdcfpoY+a6vLdOX8A0ZH2YsDEz0kOL40Lr3yWGNR+mXjChAYmQ6s7oyqfp
1PdNlEcVkpYp94piyQO7zEXm68rQ/dIFITpNHOV9YQl/K+BTFamNCw4lJMZRzdTUm/boNaFX5512
PjC3NXgzxgvL3cj85ARtfl4ySUoB3D1R7kG1g5u2oWzDTzOEZbvrejW4beGPcZkim1GOeVPicNyN
NMTI0TQtyOekClZceg2fcVe5RzwzM/h/ZRYAqyt6DVT/E2zu/TApfVoQpnhDWYoeWYvrQEiAB9q6
EWhfbWp0U+vbvJaxl/JKLAblF8DaUPnNmqIkwej6fyJ+XP6+O+Kv6sf/txIJ9kEQBGT+nUKS3dQR
gQDPnwCr4B+v/D2dw/4GAYLw8H8oJDH7WxzcgHR2i3H/USJB7D4G7w0dJEwATyUhSKzfJRL8ESgr
pIoZTXDr+dA8/g6U/Ql1w3qO3//9T+GcP0NVMTYrJJxDHkGKnEGsueWW/qiQAIaNla+k27F56F9U
38bvPfzzS0KKCig3H5aP0fO/FXUw/MRMob/Mk3EZs1U1bUIzt3DH2mETRx5/HwKLXkF1ZR4kovkR
NeX09t/D+L+vOPlnvOy3I/XvSb/LrS+Yhj+Jdb9O4u1lv51EHt4iX74P1S0CTffrVP2m1XHyN85Z
zCMMLeR3iu+fah3DASEIlwVItqFW/+MoEuRFIWcjigtYEFIb5LX/4CiSBPLjHwC/OPEZ7rYgJhFH
5iyAYvfnsxj1RneeX/O9HITauwpQQCmQcRkx9qNVIWUWlctznUi9w7QboSVZlxdlRu9JB+JtKDGH
eH2yPpaFWk4xme2jseFDoOGu1msAWnsOBfq41t9GypQ9aKXiNSSJuoy1dzBDwXFjIa6A9NOjp+sA
Is1SfYu8GrSNlTojtrmXiYTF1kgFT9Uwh5Gxn8KtFwu+5l0EKwE6U5ItxVik6+y6yyDDpcqj3vmZ
qlqYv34BHair472ngVruueHLE0y46h0i0M969XQMkIH2Awxi+UUQ+W3mxN+LMETqhrWQ3Jr6NCe4
pw0NTa5D9+l7WuXhpPvrEs0sNV6hHmXZ9BdeR3sH8uAm7YElFxFwgmEG99QL9LSVeLcLaGo5wloF
iT7iDaHPhxFLD34A5UKiQkGAmSD/ERVkBkekTudRdY/+LH/MkQlz3LhFRivXGKBXQGoS439RwaLw
owptd460ZQaitHyyuERHOntPdgKcbRvm7Zo5KnTehYX/EMHwQwtTzlWTrTqwfhYMt59JZjCH8EsB
LNZN5es9xln3UAA02I5QHsc00oPNJ69hZN90VekhnNM0p25pRrktgA5CnVpMXZxWWYx2WyUQ22xr
ptu8UQwHg7at2nHEX479GPVI+nF0crmNHGxz5HIAVSLw04RAjkP/O+vp8qr1ogHQcRODN4r73mVW
qZFD13L8fozrmqHzCsshg14O0g5NPPfTBK7i+2jYcFnHMew2AeYxkZVBEd5VpVZBPs5ekA5jAwsM
TjzGOW3vopCa4MHViDJkXBpPp34YN/EG9g9GUT4E8/woh7io9mhup/6IE0ZBliZlueYm7snV82b9
2XZCnTAEliW4wm7odpZB0kylE/FxNGBg0jmAU56xmT8YWx7gdrKURHORllG9QeuqgP3QGwAbl5uQ
XuEAvDcmvl9k4+cQqEhmxLCvRrCK0eBfQIOC1qHto6X2W9GFT5NmGxeE7io43Ueqvqh56qF5FDmt
2wOrLkxBndQxR/tVrtk4tPjKyBzlo3LqUPo1vReOej9xnPM20fA+/XsyCi/XS/Lg+323beclVShR
W65Il+OtftL1QY02NwleEwTdu/KIfDC+f+gYdPZ5GID5VpjDiZEsb2vvRyia+ol3XpEyzwAHdblx
ACT7eYBsFiXlvomgimHMe1bUViDPYmTZGsA8fVzWMNoVcFLnSYz3rcncuvqbemy9r2GIORDD0KJh
v68Us5nt4nKvEx++f0vzOJRolyUHElEEur34QrIv3JVPpFECaiaZdnPRdHhkEOILmyQPKED4aSri
72u4AisO3AYalzkTIpeUFqAqdVMcbBQ/ofRdShnBmIYsfEQSaDuqaOMkUODQEQYpZtipLpl2iAX/
aMCmpAtzP0FTIiAL4MYCOEEmNHn2Vhv8nMek/gYM6/MPrdK/6DzIr2jmP3nuJEw4bCjGAuKDEo/j
+Naa/MGc0d0Cp10ESFqVnQ91BXE0oIs6yMuli+6qluEp8VYEwzYRLEOknRbxXsoWk8ZiAWSmis0V
6uTI8NSxtuD3knQT4qhLPTicS5FQiIB1a0Fb1u61HXTw3QJyQ6gP8nGRxd1NRGrUCm/BtROSvks3
2GMdVFO1q0rmDQjQRCgWuitO1klrt9GvauL9qiz9ryqDaFBzWtSCnNk0upjs8VzavBpuMz+yVNDI
qlo+jtJzcdpAOD0MfY8yNbPyOynA5ZKx3HYVm85NYbYz9+l2EtAzgN+e/bCaT5GvT0TW1YkWUm4k
UQuEHF7lSgF/JxokvJ3o46oC9GooZ2emi2jX90SDBxujLGiFydVS7KjW5HibNX8GSatfBlu2m55W
Dc6q6RXE+jqYlp20LeLXDO7JzhQrnhbmS0SQeZigCoXA0Osn4RD5PEHiAC0l5wjsKTiMhTNoAz2S
QiAJ9GvV8/WeFSxMDWxy0Q7yBOoyvIcZsC4Ie5b6A0UBhCFigNuonds8blcgVIr18s52U/KjHKNp
I7R8GJqWHJmPBXItgKDg4odBfVVcYNgah9GXWTMiF3hWCWGnavHiO50obxfbKvyeFNbbBV4z3hce
KRAjKcvvRS/wtC6in744KKYZ0H1yV0ST/yAsa/I2CL6FTRHs/cWojQHHDv5JDfdNFSKpHpFdo1q3
C/rgiNtuSBFosaek7JOcLUO/mSszZAa5KkjPENbcuRuj96pclw0+uTcAmG0a1gJCSMndBlGWW74l
eFZ8bJG9XfaQsiXuOeh3C/1R+sG8Zb33vafgzVMdBrsOSUIay7xCKBA49cmo4q0oaQ7h9NDa+RsS
wWnZchhCtoE9P0XbZZ1+AEoOrnVPf7ZhyS/11IV5EPvDNlm8ZN8G49coMeZYJYHNDKurH47z+WhZ
YjDpEncwJloRtkCEUimwpNaa77dpItMR/WFDmD43JyRDSirJVSDEKZTex1qpcqccovK65xcoGS6j
9UQ2WkObpXHQbumIBHM/GZ3aaFgz1k1Trm2TcXzZdTjLzZh0ObqEbduZ8bJ2wZA7iLa7OOxMphby
NJTFAgAiEAeiiD4jnMzQfATsWi5x8FBH2txHutxQbsXBGxMYcjP4BWAYsTgyHhHM4Rj6f8IItRvQ
Pd1nbcskxfXdbsNpBcptIpJSRfCnIipzCIhy18+LxA07EfexRLEFQb84AhdtGm8cn/LfRSTG134M
AQ9pIeVnVQi4Gaooq0xO5QgRhyym23nDVCF63w/qVNzu6OF2W9e/Lu7u1yXOfl3oNG5KsU9+XfT2
16W//moAOhjaOl1+NQbw3tEksFu/AFdx/O/o/9tI9S83SP2PaQuswP8OR9z2djR/ZSN+G7fwut/H
LXAOmGXYbcgmBJgDJqffx60bGkGwYINQH6iDTzF1/33cYn+DWRNyXI4ANAj9w+RPIiwT8xkmf0JZ
hB/5H+WpIED8ddyKoC0kQL0ITxIW/3X0XxP47bjXFBLS1G10/LXEGJPCpFbXCoLzWTQTQEZPvYCp
Z3lUT96u95fm6xJG8UXicUsXA7w8Yjqtuvle0xHpPJ28lKHieTPwGBEdEYvMIbI+16F9sEN0o30p
2OVuQqi7qj30PzC6kyr8kBYNv2EXZ5A8TiKxqWIp0tEWD9ONiAeMsPFrjANUFi9LVSTbARU7jVV0
VtSBsxZBs7M1R9UmDMQnXy+42lU2YmKBCueQ5pAGJlEyb2eDnpPIBOpxAvIb0xfNe2S+wATGOaRa
L2/5/NBX4R7f4I+ZxCCC1VkBgXSGPAoVndoBsCGZRDa15DMKxHL0qkICaKyTdUeq4Ungs71rYbJu
7ep1O/BuL4tfob+cz1OED5OPHZhjh7csaH0F6rHrPUSEdNdfKMIkMN9btRPL+B07FdZr8QofVKSm
R72t+glLHyqk9r3xFZxw3vTTpgmRVFUhwkuJ/hxDC+ODyS0E/3xJWKqdfO55eag6RaA1zuhquw7j
RAD+f5V7z00PYBzspoQT9QJ/NTrQWIESJggA1e3GdRM+mrgv94inVE9aDY/Vrb2P0NKUJmywIAMj
r2xVeBfRQaa/umVXIGjgSk/ukjEssiZKogPhq3umqn2kdY+BIaDhlEtVuSe/QbOB6XPsdqMny7uF
XbiKXqgvx90qmb6fB5Ado0VT62NmkgvoXPZWNu7aSICnCJSEOzlDmR/MwcME4q/l21zOw2kRG+Si
Bb4qcwV1+1lrBMwaXC1YFbGP0ACC3Xe4bYJNCLDBB1iJfSXUy4pl9dOO9FdnfWx+mOFrAGpMEuRn
endYjP9SqFfSdAsAONB8C7v9t+Wh9z2sZOj8FwLQI0scUjkIVhCz1ZXGvZXMwa5H96qj4GtYeOK0
gj5tJL9QKAyhr45x0d9T+J1WSwwmAF/XKviwg4/XiFZswoknT5zprS4KuOLE4R6mavDu1opG98G8
jlvBg2qnaRJ97yBMnMahFpDRXcTum552gBWNO8lwSL5GQ19lfNLlyYPUeNDBMB0aWTRvEh6czZLJ
iHNFEPCoZDnsXTyUzyZeuhxH1Rxo67sPiNEtsJO5va8YtQdslmi+1K6In9YQFj1o3Rr3ukZXxlp+
6rhg24DN83YMgvIweetyUTZUz+soluekU9NRwg5/gZRutr0lAwLOHcdSwMLG8Moqew1nHl0gl3bn
2ibzQzBpegW3MR1HfwB/iqDIJi7bBa4yHPe+YfVhqDiowKGtftJwmdCLKjf86FSN2FRr8amv0ywu
suPzOSqa8dQUCdjF1mLCTJLFf5yp7bH8Brk1VbfVi8OXdQHJM5xxVOIz9Wb4TWE7AgQYBFLXqot3
QUOaK8cbxE4QCBXyl2bxh1vmX0xN1L8Jsn+emjgJscsEhRs+LhiqP09NdY2YCzUrZvWybK5dOLT2
II011x49fj4V/pJ3GELgxAUw1OZ6zWebqE20IKkejtMLs8bbNtT1eAqkQYU1AZj8UvhbVsHnQadb
fiDUA5FBtGV0z7QvTyPa+PjWz4tbZ9+xQAOVSJqLKxt8UX31EsFsT4eQR3uzWJXZwGAycNHzMFRV
Ok2zumNTmch8xraX526eibeDod2vUJXWHitUNH4wEmMVB7ITd1gjsFbFhBkOkdCdr8pKbizybx8e
oogCLhGGl2gN9AuNq+TDkPJomnHdeiR5nGJvpwWYMUfZzdGJsn6MsX3ab9hOKHSKFFEUdxuXJsxN
3TKe0Tg9FUOcZF0LAsQCd/AaAaVMF2ID9rpOqTetWTwjPhLApjFraE/F0J5jgcdfCOzeAGa2nbUg
6PIGh10iqk3724BX2Wg+ajtDHywBLWiQkNfWSZAFPGjg+GMw7FZsfOimUl2ndY53ACZwlMCNwdaB
XH+euyg+uwnrgWDHcRjgfvVS+SU5l4L1V6yk8R9bWAT3VU1huHJhxxO+6+WsO4bYqD/yS8CQdUsT
jCY/4lJbrGOIKbaBY1dptgzFsh1uT4q7PTPJ7ekht+douj1RDVIYx6pY6LX29PLQ9aI/h77G/VwZ
e+1mXJWaDeZrj6QiFgjx0Gzr2xPMb8+yf3uqi7jWYOnxpEcBbp/O0nmLHC7biltFcOvMTl3Y1pAj
9e0cIGOT3GqIuFWT9VZX1luFCW+1JrpVnfFWf9ZbJRK3msS9zj/USQCWomQoWcs4qLchWaeDrBUH
iD+Xp2acqsyOLPkqG+JOXeF1RxBA8X2FEXLMOP72CQ0I+87ipNpBDR23thPsHn/bu5v6EgRF68KN
EAiQZm5ygCmgSCYg0laODqWGZm62Ca+xqYREsZy3yN0sMu+7hakswJYUt1dhpexVxxKp06iPgEvE
3Kw54UvEIRbwQh71asruDa4vEnskqjvkcTWCxntY3rY8E9jlS9oagTTGNCZ22tBGuxmPneAQBUEa
hvAXK+x14G7py41aI4BTSxStPvaHMHUzNmW7S/qR3lHPkktSLtEDRuVg23AKGUmGwaNZh6jO6Foo
f9czhNKQyw0AARYSwTfgTsU3CuVwBgPfQBsd4rXykN1DoiazWD3VZDHK5jukEOCNa6UD1BZEsjmO
GGbl80BH8liPPT4X3T8gbAH/W8p54xvXwQfW4A8Tfyvj8WW0Z4ZE26YsfBBFvLuECA9BI/GKDD1q
BSkY6+IQmVDIwDqgtrxccoVNOikN4xkAvPzS1XzeOjl/DzTtMxhW0J8duS/8fr4iu0EyZoZvIv7W
9B4/OlII1BvgBXbENUBbIDky9ncIDT9gOd6jbGOeL01yHxRzgaVzMctKNfgbYCgxYoQLEMC2UJkQ
WMuUeI9tjeAoEwE9e7j/N/7afW+Q4799R4DaXAc5qprvcZ2/rEEnPqNwRg5qAoE2N1gXImssfVnm
dnwNEt/lMujdJ28DnEHgkh3NzG9yxy/p47+u2v+lq3bztf7tnHcRazt8VX9x1X5/2e9jHv0b7mMC
6vZ3D/cflhqJCbz6m7JJoXH+YcYL8QosT8c/1I8CsOn/tNQAwEMTReVOwBICjv+PLLXgz80C1nKE
2DDNgYNizxDWQAZ/2R+2BGaFkaXsHqUfifxad7s56tVukMEVuzL4ATfsh2yDBYDJ9JMUrLiUkaK/
CQm//R8I/kXTguH1T03Lb78HQRgvimFAhuzXnrM/SL2Ul14btIXds9o0+xG1J6T1toX0M52r6hSC
V2f3hRLXScwSu4xwpZCyuMhqGQHp0Oepj6+GgER6XcWVQhOlErk5kYwgq0EZzyw+dQGCWDNkmTAa
H1Crd0EB8DvqmJ/708ts5BlRys1S6I1UWBBYL3dzXRwJxVIdjwFnU2+hKu88idyRjOrnSdBhY2j5
NYzrNkfNwQQMXBVzUzl0mxtbnk/JiiVFrXg3pnumbtnWhdvLkt7PHDG/MERcHh+soXR8rxiAwrJd
/S1y22m7sDNYymAbVWXmyKX1Wmh9FGrkG8zGxxLbHqHlHk0J6ozGR0wPmcROCj/un7CM8CMB/Zi6
pb7yMMRihNJGWD/ZJnsaiTfeKmxwWo9siX62FfQj/wt2+73cjArkoy9DNDyyItghQLQJFizrATqc
EsT7MyzMxg0Hz8c13xBC/iF6yvbTihFS1+wTo1txgCZWHRCkVfu+nvp8idfTGMwXD8MC4ujYrzED
0MUs/qSaErH1R6PjjPnow9ZwfupBYAV+uKUz5MRnCisRt9hGsHxk87GX9EUliBz7HqBI89Tr5dOq
5DZpfawmTF3nc5CYHcB/sXWROCHvGm3Vgh11RbsZY/6C45XWWCIKaDwNg1jly2g3zrfX0ivei249
WUYfBzhrmGSnFywGgDX0o1Xqanx7mmCEwvrFZqRlndNgRDhsICAmiybny/hF0jEjMKFTiB/vMY4m
lqm8CABnaeHrHxDyitRVCmuVJO5v39soOX73R+wBK/wCgKM7jgx7nYIZufoK+9OC51C9xcOw3mH9
Qf1mVzSVdfhQwNTYJYA8sVyvnA9IlOWxrU+x5jnr9X6s6nc2YeWG117cetdFLyZUaxr0noCM7D8Q
jAWIa60HLEB9uy2/2CM7lVtZYdVUfLZLn5cMrSr2eoXAU5MOoTFQqUMVIV3v2nPIIY5MmFywlON+
XIpmU0ostsN6WGzhWqJc6KiGTHP/f9g7ryW3uXPbPhF2YS1gIVwegpnsqE7SDUqU1Mg54+n3AH3K
tlqydPa+Pjcul/3/TRJY4Qtzjq8PxDkvoB+6hyY3ck+hEeU4uI8iigQUZV/Lud3PiXXBgrH40NNV
oomaxEnU7Jwk9QjvNhNU18aJLip1MI/dAxDyhlI8ZFkGZcrcpvr8giR330tAg204rObZetW4+U3M
hywNe60DYCQLJanrhQ6stbdui04cQ0n9X87PMAnVuursz5Fl2YDwFEwr5SGgQ8U33tmy2Uk5evns
2Kc+HzZBFX6zepNbPl62k8S73Q0U8NUdsJ7DmLhf8qQ6RJ36DofoEFfzw6SbwcqURYZLP4ehog9n
Aop4W9gjbbo6flwIVN7s63eBgQIuF/c1WAW90XnyNAUDXTs4ZXTDXJxhjXN18Gg80ZmLoOpZ6l7V
/kOWxtVqyssn2ES7PvRNELmhoEZSXgqFjn2yXjK68xb/A+i1ZJvi4VhPY3GC0fhsz/Wdn7efuykr
96EgBkba+YIe4RMq/mA9ujej3Z6KAC1cVj/pmntH0PW5TVGII+/rwPTpU/cZQM5rMtnZri35HZYG
jabY1P2ECxlT7mRqj67D48lEBS4lP7YdcvguQTpZmQW9dLuO97YzHAbd2YOx2s11+W4k2S6H9u+g
yF8Nk3/Iy1DeVFgTca2Wo4d/+wdlz5dRjUAdEnNTDdO2MsgKMUY3m8wgHcPmt3dm96ukPrXIgFl/
rb5LrVD30Lc/y8I4j83UbNhht+0kXis3v0y2XW3MbAnfs+ZrnKDpZB+uwnb43Lv+fa7R6hycs963
tzM1UbhONh2wOrlBwHCYA+AMsFJWeh2A64ua88xjRfpwk/QD2CgrWuHxmldTnWGd0kzHC+tAefXo
bww9ObH1Di3lik1navc1WRCHRZBsRKzdmLrKYT1G3+ui3NFJfKRH0fCYg4cmRS9vsx5qhyeZbGrL
vulc41DM5nFohk1aH62w9RLbifYFcl198o+W+twZCZWpZhO19S4BGGsPuVcVHEJ64W/b0N+V9DrL
4kvY5DTR7Ne+Focxdddtap6Gpt0Pfbn1jXwtXJox1IwPeoQeN4lb5JKfKn9Y093YT7B8ixZCDT76
Id27rHQnFW/Mhrqj77xPZvC/truLWj9Zq8bfz1o4r8e+frL8FschuNcQq/fRql8dF1ZS2q0sHBC5
K/dD2p2FfR5nA9tcBhonrx+02biZRk4ucirof2x5Tdn3agx/lNMp6O1NYet34fie9dBvlbWNlzKs
bry3fgGEqsMgnIoT8ZvXD9F7JPPvYWDeGVZ7a1j1PkqCJ30iE6Ejg4DBfXOoLcbde6uEB3vrfs5y
r1H1rapGNmHxxhZ5qSZ1tNMvvZNQss6/UOJcN0l87vTuzo4tzygUx4sf3igOrVn0DzUCUxuabIfi
eiqzu0plX7JAS9eTZl5cu7rtO7kvxukGR3eG1d6gJC72mdF4AxzXbu7ewhhYlpr3iYi/zXV+od59
CrUbBxpBDjnBUYVaWWF50wCVylLReLED2fSTzI4Gh0I4wAZ4BcBJUSrzqABtWjDCg3Ezx85hkOmd
7kY/6IOSVmIpxwHDam53mADSHjN5mOg3RWD7q9StzoGZPNRQsYfZeuyy3gsDeutZ+zm8ydOzbJ5j
M1kbFbTPJr4FoUZ628A266MXO7LVirb5BlmuN8T39rzOO3uXjsO+yJrvpjuewijZjxUPsJZnM4Ol
aI3pwcVHEzTpySSptmzrpR7ri1t1/qY18YalffiiKq3xVNLO3hhnzyMA8gc0N8LDiuKsmDVFYFMU
0a7oDW/QapwsqZe0kgadqe7pu38O4olGfPfa9KCRpwbRuFm/1EmJDWdRQNUbtahjZL+jsUhj/Klv
5arj4AU85RkqeySlzTy/2U1CoYTUPBnc9INyvSEcz67LUveR7wzvaZgBoXxoK/c4ZO49BrW7uDlq
0bRGvu2Nj+McbotmG1r5XeUXzVqTNUXuMOT+AI2kd48dV9GiUljFw252nwNbvtLSfMQpxnng7KLg
CTrmrjXUvotMKifOtqy786hnD724zwwWEMCjOfqi0YUYK4FtpVOrCXXZ0O6tQZ4RHgU4s8fj6DbC
Gyrr3aWPz96ciuA40CWJ6wL6DIlEWW2j9hyJic6J82QNwdYx26+Rohahu90aITiOVOKHTrNfk9YA
x1C9VHOwwWRy6OTJdTQPCw/COULS0beOFTxHkT31ahNQaxm87ipL8m0oIgAjngMdh0Dex9HRtbMz
SKsltGxmauV5clM6VvZNU8Dkckg8B983ILPptdu+qSEp6MWSXM+RAsOQttM7RAjnHn+4c4OirP/e
D3DGzMTVd0rF5A6zBX8HPJsnHTVuCiSK36wcrIFjZNYJLh1yGg77bO/KMnmhMuBsUpG5j3Nv8CS1
NvySEQ3v06j07VWsKbFpcfkeYxchj4eUMdykBkbhMY0Owp6CvV2b+g8+0vlmp/N80TKQgJkCqunr
sfhUWDWuADto75xwqo96HmcnXbPrT+R7xMcEZiNN57x5qLLEeHL4xnDfKu6WOByQ7zXlqejNpdA+
SfAeAXfcrI1r+E/OIag0fDdZn7q7rqDhlCNHgztVlx4lqfmguWVzI3PbP6Z11xzdzoZ7k2ikXmPt
8twLq7xpTRgeuZxuCkeCX8I+HX8qnNZ+0Wt9+lYWeXWKW8vfBtaMMXGci8+jgZ8hxnP0TKLD/nGa
ILs4sdW94Q1TqOH7MMbC2KonnCnhIyTv6aEZ3PJWDLV67E28k3XhhqfJfOmB1DVOX+/cuR0f/UKY
z5ppQgvNo0l+Vo42bMcKsIs5j+lDDZvqdohmyqhcmF9CFdm0sTrnJOJxvKBNyO8hxLT3SrTNXdqJ
+IC9FC0iLL4VvAcATUB3t2LKgx36k3ZlGdDbkh6ZvUFrAP5NnO2AbJQ7uhmcKsmEOTUMfImQA6Ul
PnP1anQIAEaOpy8x5pDbcuyMvYk5+qTNKCOsOUcjkEb3xfhlDDsvjrCd9G063Uk5cZPC6us/NazM
SUTo0rJdUQjK/NX8TaUxdSVIxmpd+v0TAMZnJ5/vrCr5vLDsTcVQhELiTaY+Z7bRXrPGUxXFm6jE
bKToHWm6E6xNmKwKa0mu22/YNw8U7nSvE+Z3K+Uyk/FXs042UxF7fZBs2zzb5ERuXAymGvNVSRf7
1glMfZf79esoiyeZm4cIl1NKb88UsxfGBt+4ozN7K/X6RQjEknhW3+aZxsDEIMRNnVlPvdk/+5q4
KydauhonEa7e8zRqh8CZ7pwo6A+lqMy10mS6z/I+WePIupucbgXkIPWKON9Ak7qpoqHZFjFBOeKv
VSfNbV+327zR5JpJC90rzsZVWzQ4u5xV5DpbDN3vZd48/6VDY/1c7HBMOv2IrBW5Jup9RPwfii6W
ExMxKWvYW+kraT59vrEb78YB4Di28IkK9KLVLYL5gfMpfBwiSz0x9AFACK5zaJFW3r85CUZe+7pV
kmXXTMv+UctOCpc9lSy7q1r2mbjuuGXvFXOQfBqMnAIKyp2bbtmjzrJbsTvPx3TZwf51M4+B0Rw7
wLzHwGevT8uud5b9X7vMhMiyubrJ0CXD6RoWS3+AsjD2kwkzbO3fIxGX23I5W8RyyszLeRP4nDw6
hkt8O4PxZKuJc0k0xOdBGLaf9LhoPulFk51QadXHcq7bu2AmG8NoLD5JX3HmLaeftZyDajkRtaAQ
P+RyStZTG9G4LvBAVyEF9+Uw7ZZzVYvA2GfXw7bDV7OfEodpGyVxBl5a99GMkQKEGAxfesjge2cY
OL51aCWnahpCqruF+OYDQ9lklesZZcwlf70Eii4Ru2G5GZrljvCX26JY7o0Yyve7vtwl9XKrUM8p
XsRy02jXS4e3WRwCOmgAU7mTnOV2apZ7yrfT8AAP6EzPMTqGy20muNYA+aENcuZm/k6R8LTAMgDI
SNG8DIuUCGgzqqIpSuXrpBatUbbIjgZ3DNg1hhNvy4ACVGJY+Act8K1zRgAHhAjR0pjf2k2a34aY
J+FKyvC27Fl5RlptS5K2vaUtbT4T6fBXM1NdsS8cHWyqXrRi2yjdrtdRe/1EoybPtzMH6MLoa/bi
I82hxDdFkd4XeWx9dSopT1nMIYF5BAroCrknkQLEyHxY2SAILoZePvRG6vrrUpeq2oa+QVxCtuB1
lZZQ8MoAZsYtlksdNsOmr8AdkG3uB838XMPFRkLZk0nMxJUzyxeEV8ZlM26wej1hsn5K2zDbaENc
rxHOZ7eDnjO+goT9B0nMq+bo6sboXCQhpfncR4SevSZRkWQ9Tac2dLyoCtJHZ7C0s4P7d8NFD7pA
T6InW0fKYmGNPYaW9RSJ+MmpovAUV26yp43X0O7Vj4Eh2k3eh2O4BSxJ0NNiwO8N60skdGolInrH
KJogcmTii0HFbCPFdAblo6PH5x8fWBhgnPo31YnimCuknzmUIkbOFHJXTWmNlQ2fGv3GnRMW0I7y
QVuFeqW2FFMpq+j1V3AmD8SFQLesETy5GJ7LYnwpZJZ/GrSSdMxJw53Zdb2zCrqkOIfA6SHoY1oD
eA8+HFjPzoitcuvY8wyTvW+2/QKLLRzqmlirycCCReQxNl+GvLcPk0iit2jOvygBjyBTZb2DgdDu
Mteod/4MksmsI4TTGSrVWiy95RIQ6OTPlaeX1BfbWMFcDNyM0KLUSefvMUY44AyImKaQlD+EofVS
+C1veCJr9Zd8oHH7J/49WFyGSrl2kUw9gz3LT0WLT1iC/92XXLs3hW9/F2WTPSVSm1kFHChaln8n
i3mPAXiGmSW8UUT2SmqBeVsW4NVQGEsSm/B7g9sOUwfK+KRqsjVRgUDSHV2mSb4N6WddxTctGGir
laiZcvt+FhgnpyR/t5r5cRIFswScDudz2qbQsxybARtFFNw2tezXDIfA1quTeMCS47IqzPpTjyb6
2WW3k72KbxhSDCTO8bNdp3tRc3BpzK8gMy5rMC0iPAe2cZrsAYmMwf4aay4JQEvRmoL0be8rxK2d
XVS4I/riEEot3AdDML/FzpJkBsa0nUfkjYi1bBrucdvPX5jhka0N1ww9HJGaZyqKXnYbl1/jcDIO
gWbpp3BwoUe1ZnPnF3Z732PouFe+Nl58zp+TkJW9H5eIql9iq2qJsowl3hqukdcSg0mttQ8awLC1
f43OOHHNZ2cJ2eoleAPJ///liv9PckVsOEL82aj4f/Lv/xwrdht9Ky7MHDs0i36x+ffO1j//0j8b
Wy7eLlT6ho4sl7E5/9Qvyv+ShDcoGwFO0tRx/tXbEsZ/8b9AcLIgPzG1WfyLB4/bkX4U+kVbMHeJ
f0L8T+xiYsG+/0sIYztYH1FO6oZYQizl8Nd+sg80DU6WIhrrXTjQsYpVdslLoDRYVRrS7hpryJy+
t1ZUerObXAqBXhHSHoUd8pkpKjAPLyBFfxyU5w/RS19M/T/AYf+x73Vtr334io7hIvFEXYmX0/3w
FQ02py6SoN45wMApgDB2KwiXLC10z1x2X01jvLWabg0xuVklqN//0nj7D1/ANFxoSWiG1Ad0vkxE
Cb4GWgBRHK6CGZVbycARCLL+JoTdCBYKcmvnMqMGYeEqFnyPP4fDvO6Pb8nB3qozRw7FinMNlv+t
89eYkazTDD4KJiScBMJ+6kJ1G1U5QwX/Kb/9TY/R/Dnqvi4HPsjiYxajLX2xn5eDNfswDKai2uVF
X+zboHW3dlu+FVXmbt3J5eC2qMXQV8NGD7UZEruOHGiUDyoX+RmEr7YxNMP/2sS0CetR6sgUEcUv
+wKt0lgfuhztfw3hfaOV5ohY3LQ3tD/AGXd9u7HxLzHgS95XzL1i/fEgp8r63AAP1+vGWZtR5R8D
Ks1APRA4IasPbyaUAIPJas3mp0I40KNHCoV4TN6FMROB9ukF+a2Dlta/nR33Rw97HxrP65+f3AcH
MPuILcFoKZzE2ORNZ3mD//aG7DnXqfxV5U7hIdpg6P8c+/7aMevW8yUXnsmNvbKr3t3++XOv+uKf
d4cJOhtpjW3I6zHy8wdnpWuXjGFAItqE6YbwKT7YXBB0C2AtkaM062iBNhW1VCe0eyWpHKBB28l5
oSmukzQMtp3TuJ4iUVoZQmKO95msV9A12CFmbNF+SJMOnAYP9i/fXf6yrE1LEJUz+IJxE/TKfv7u
OoIn0ONhunMFXptKU+oULCQqo3cfwR8WUBXblLFcbUbC7xx6QxyGJCDrAgNDsoPkejmAzBEe15nK
Jq6YpoNtpfGj7YlfY6VG5FE0+fbn7/3ruzYRj6NFR5qAWNL9IB4kftH0uudrUwxdWtQcCugH4F4v
D7q2ShdXRut6mpnKv+3P3zwwuXiLMfkKHeHizw+sk5k/dG6d7vy+Kb0eKesKCVaz/vPv+yhpx8Ju
IXVDz67z4zhwfv6UPC0zQ6vSdBci2N3ZIL2P4Ggvf/4Qx1z+zIeVi/TblvSiBFJ9+eHtFxmcvjCm
ZFzI9N23/RqeXkNvOciNhgoym9wF8LT2exi0uZiTY6bSdwGQ5qGc441amJz+OAEhM3sXZKfSNuHM
/LC0YZEn8QAtg2lkTAaiLWVp01a37Fs5TjB5hs5ZJyOt1n4BrmnGwGyrVJcbp1A7feR8U2KU5DWu
timWjmwTKnHWl7Z33OHYdClvrk04pauJcuBKzvy3aoShGwcg2UoSSPBFuEvQYZqwhij5tU5De5mS
gt/GF5xWFwaFPGTl7B/9EsIRrKL3WpJENsswLt3N9xroFa9jfs2W0RXvVB6dVVdw5lYGCuqkd1lw
gvXNaFDcV2V6sXrWoJkEz9VczsxIcEFVwWXU2oTvbTzkkavth7CXG0O2bwCPKa0vp/eE/Pi1HCHQ
mFrtrMcxl16CJpVwPja/imWmQy0BIKZDdEFHAXwFU5wXWGnlRVJ9yWsZe0GXyUcGdBA8RDMX8Wxp
GzuN30XIj+4DdCVZxvcN2vaxlskPyEK9NxjpORiGHq0GB/fQlQ0oPiyL8Ti3HlrsN1sHumf6EObc
0HDWWDB8rzObcMsWy3cA8y6GyesAuYq5seEGhnBorGh3nYn3P8XCfSIDydiGzIakyRDuCH4MLhYG
oKaMC1jlDQqOCHk6wzXvCDB2vp1fqIhjZ+5KmmM2fVLKBMUKYTsVnSWDAhOzhZPynrt4HC1AelXb
n+YseU8RF+yWZuk6oAWzaoZMrWgM0ZCWnpPDw0PRc5tAv6Exyx2QGOThsqsA7JWs82K5MqEFlR6N
KcT+ffKuBRorljfLoDl8EQX/FwnrC1NNY944/l1pkmKPfvAODotFEHJa69HgrLWwOI92QwaYcFOn
c3Yxiiy962BkwJrQnE+NTLfUmi5U3op9OOn1yfLtJ/ql/EbC07MVYzC7vhgig1u81i3iXc6069qd
BpbNkoFiSwc1V4bRxfGJGVVgPBgOdfBF9ALeH/sdK1wsExiuC7ee+d6wsLf2aOYbkVk42p0nVIfU
eCs9+ccWyFhhQhgPTVs3a9UTfJpmOd/kIy+ri5ZoQ+PvFRnyPydkBRmC19/obJeyKxA3yj48Dzoj
W8WAGrF0WLQIFS/XL87XJYrpciZlaNxpgDzqk8Qf8tq5wMC6FgkHbXO2mk37r3DdahP1vDt7chP6
LfZBWMAYVSYXYhrtx3jsz7gtGSCUMIdxbH0Gb3GAac1yYNkYvmd+B0s3+ccLxlb9ANnujYkh8MTH
+B1lqLsk5ZfrcdHZyXsL6HrloKaHaR3wAbQgIfNyg5QWjpuaovqqG3iIJAPEQ7RDPaJkG9ef2DtK
4mMsHIq5FacSB1WCTIOZGrI4X28nV2cVA5xyt4wcQ6llxe+T7lOBjAukP02ClISRwjXMCHy5cs15
+h3/M1HuQnLMCbpQS0TPuEo48jT+bs9Zi8GPBzKqXc3gjJb4ajnOppwHEabW7fVQ6hTHC/KNt3jk
u0WddSsLxpvAGXog38l3GJaxIznxBZZl7DlXx0vPy71mE1fKpBUZ2ma5dqzCvr3+wmFK3pctUUXq
YbkKbEs+tCVf7PoOSiZ5RJmGgDXH6ZEMZwfvtifyZdlgZ135UmWbQtRvOlLds6rj96SEVgo5G+Cj
zmK8nnSOyWGiQuepmBQnqjVrG06T4a5xpnaD+J9BKuxMij4z/5ZDITBNGv/YLm9n1Fh5ai7OjGLT
14pSNFboeTxeT2IYQwRiFtKHIUL5zB2P0GR2nuy0BOHOv2HxTZxx24z8v6BlF9NXB06P+XVbLUHS
V7h6snZUyfXTcCKwhvnzy71iJHwpeNpsVUs9UFzeTGEy7Qx4sCt0JL23rLBx5p8MS8J0ThrcVLyq
oWDR1S4HT1qyrLKe08fpeTUGWoTr223i+i3CMbayQ059siAmoQb8wQqd7/Z6/mIIKz1cNPkOfSQ1
G7co9gxhapFPRxfq4Aala1a16thA9pycLYtvLfEOeXEpmK+whMNdFNPmHJCJAOObnvWwKvZ2xu5m
yjT18DHBkstaydvsEjvhO97nJ3p7ExcGXcq+51Evt43vci4mLVuAUQ4JyhwrWVtUYFYmQ5MgrtYJ
vtGoW3WIp7c2+FnebR3R0+KpKrHE58reQhJgPFpZcOFNbXXLKVmdIjNsD+YA+7RRTDwZjXBcM2LG
3SYdQxqLgqpsjJ4DafmAnNwPlb6v4TdcGMfQYbMTZrTtRdmvWriqO9cOCTXG6L2oijcwli1Gm4re
K+OCPhm4sE56DngvKNtPcV4FO/KcaC19Id6wmTHSKJtyImIjWocdaHnDmBk8TEFazaRJDKJeQoOS
4lWtQvteMNYLicFE62rwNVZCVRwArUZeEi4DB+b61hChubWZeHDU3eAC/wPRhi0p78Ig9iRDFrbJ
oM+nGd7eqsw57Jc0r2DKEd7piP9wmANJXz/EQ5BVt5Gibjvm8PuGIm03ysx0r+nqYjWmgUmMwoS5
MGOcTw7PErx9/SOeCdjaXjFiBWzbXvfLdgNK6tC61RusMZsR5uW8ohI83PQG+IHEMZodHmbGnMem
z8fH/LGWP2aKjr89M2c5EqLb1p06ppAcMdUMP5K2DveMIPXXwwh9jwTqW8lk6TiYvnUjwTNWGA4t
Ddh54fQJrfuW8Vf4zphsQ4fOEqiYcMxI6JEyAukRMWSUgQOe0Qz6pg/MNcHzvTYkHrhgwkS924K8
jjZOwDsNwhsN8xz2HwzrTFAD7XKsrdRZOVGG2soFzgfjfg2+LtnIZewEztCvquXUjSthHNrZfAgS
YA5xrZ9rzUjWecA20GNkoliltD2ldB2MdMauXTKfOcF6qc8cS1EXvQsMXNsQ9L2H94qrMA+nZ6Nl
VhJvePaGlBvIzC3/fYgZ9S2Fk77kEHhO5qy/9ZKjQhPNW+5T4siSqv4WzEz54SbuNrNlt7ukIAgO
x2reDgkRk04OB61ao1F1PcehwJ0xHb5XAYcDgCLmxwNE2HUlTOFrRs+kKo4Dg22KZQ36ji4ejJFx
pmkeAdiBBENJmSVKwrwzh+Hi9p2zS/L+IXRYMVDn0PflPYcmV8HyPXtHh07E4QTNj7SQ2xotW3xh
VMeFKUZvOqZ5D7LjQzNTG291rLT4eMajEIBmIyTJa3gi93k6nMtJfCGBrLZ6r+pTo8v6GUb/55g7
DdXvrqKTfBxqDjU5xMkN2AZt4xBVAQRsia6X43QGowAdgBuvB5O4HZTzhNjuUk7ZmQBjvGcEHVCb
yrgpa+IaPINnoDYWeaMTYeEYoASO2SdXgpeV4bxtQZjUq6i2sO2hQMVPVH7GgqWDbZnbjUjsQ2qy
wsqU1YAllylxYMNvsnTgOZtIFQsjr0+BFg1PGWhSSA8sN+Yo9IjlJqzE+Iknh3PNb4hzGMg7Arsx
JDoydzmkM7KVvi+JvZt25scSY8q5L7GFgWMpkLGkgUBk0TUH4cbMnA7fA277uuYeanJ1GxgL2ma5
0duRJGwJd6plrQYsk1vfROcSEBOQXMNpNyZto/GFV+ZyZ+ZTkQJMImuZRwpE2L2SxU78VmRcPT3d
1LuAziUWH52Xnbf5ru2Q7U1UJkEup+NdYrXJY9X1kZfpYqMFOqYmGzZ2Ska/ud5ydVvk56g3CKPM
pXECIO4clHxMiqAVr6kxf4GVHn6vI4jvVC0wcrqMYnAZieF1GquJtor/NR0a/kqdvevATS+Z3+dn
xjRdrquffBM9NZ1KktV3ihD8qtR6dMZoh0D8gUFTpHo+N1dcaj+WQhUDk6s9FPv+huHXFDaT5Q4M
WJ9dISFKEENxKATlQ+3CDjbbRckp4K1LPWTsOMcYxchkk9nS8hLVHnHa4Sgqy9Mk53ljwr5YTSCN
vNjkdUSavEvrPqNsgtlHCwexdkOuYVY7VxwGTBos5sP17r2Sz0MAo39O/NXvygvUGCVGf9tasH0/
lxf6uLd7FGPJDmUiibhBwVa17VtVUhSMdSbpzJqAwL7wzRm4NG+RKXccNSUytVenKp90B6voEJLo
LmFGZyMWt2z7ie7MvS7H2TMyW2PsW92h2gNbWg79vZVpzVo6LQFwGzxfC5nXHMkW8nvUZuG7hdLd
U631IJI5Xw+MtDlLCBJHqxyz88ioNJIS1p9lkwO1qJHJlxJJfq2IvTQdz/mShHXCwDvpfI81vz7l
IJs9M1iiwJB5VagzUwyijn9IBIOs//xIxe9KKaAPdWlTCsSq8qEiFacRtBB2ys5vyCkdRtwcm46K
hCUJurJEvURLKZXfx/3fsd0Ec1//UqL+TVHMwSNDR1oY9FI+1vIMjAcqkkm3i228Bg0DX/YN+FXU
ePjBEi2uvdCCSdbjbvtLuUr8poxI+g7f0UArApLvQyGJnS26KHG7nVON/UpxqK+ZQCQeo4HREeZc
ll86PfY3vs48zUIxRaXPelBVcjcZo3j786tYKnAfi1qWbgumEWFZAuv38+LuZKeXIfTxnbkcAkvB
wFzA+XYztptamQ8RFve/PPlfa/bY6HBGmrQndEHg/fNHGnmLnZKiFLQhAzkdzeBNFfDfRFo8jU3d
r/pQG9b5QF8UEVC2//MP/s1upk/AF3ChGC6trJ8/PeOhMhpAg73gEIwlFHQ8jLP/d3rMf2wC/eax
UmWWymKA2W/aVNymEhgjGpdZRCbmXqaz1fH4BbEpM4jTz1ObRn/bU7/7YQZmNIf6tqC6/+GHVXkd
EJZk7S6I4ubktxTMo9ZkPnhJcVAMzlPI9YlOhuqZtIJLNqbTrh8Fc6uCahmrFH2f05c/P2tMdR8X
19JHtJTOYqcI/GFxlVpaR65esseS+EtRqunHP4JfBmWuC8aV3v7545Yu44fPU4plbFL1BzBIYv7z
u+2krVlocJqdE9m3tWSGYb5MMy58TAo6UfNK9NZXM42fSz07pLr9XEc4HPpouOlk8r11Boy6Kppv
/vy1lq7sL18LvItiqbO1rY/IFeaAlVMAbw3JBHMK7JTg2ao4ajo958pk/FRXVOeQItkriKRyC4GK
iBbuvBdpxZtg4hGTL8hM0lJK7Pn5RJBh3A6irVdtHH+zmr1q8f/PJiEI3XdAzQ+SGAcBYrnKgi5m
ymoAV4VKjT0jSmxzektL1zGxdAx3eooLKmtjrzGW3FpnokDqI2/WmY3Go6GUtbTtrhdbPOv14c/P
Rv76bJZOsqKAbzFKCC7cz6/MhdzckhiWu8AnXZhUFXh2i8I8HTLqYnbVMvkVCsrYZniS+l6//kxK
q56ZVpAomISNAYmbbo7r5FjqnbZROl2ifomb54SotGHk7A0lCcYIOlRCsfL+7Tz7xW/J+YlXWVrm
wkPV0ez8/BuoZXDO1wSbBKUN9FxHW1NTG1a5Xb91UjGL2MrOzGOr8X8An4M0sK0HqNN/fpS/Ln54
vrCBpaRzr9vmhyeZxbNR9nZQ7Uqkw3LgwUhWQgQi/C8fJH89aWgdCsfF4Yon1v540tAF8Zk5nZQ7
Bpxd4pi4R0zJvK3sNn9P54YKh01VihkTZEVjtwhka75M504MB+wDMEDhRZLCRwP9Jjsj30tIAXm+
yQZIGqUTknfq2zjI6c0bKWU4zSd3+fPT+t1Lo4FHA1TZulK/dI5zMlcp5rDchQ0wTpnCeqtz7KVZ
Q9Q5ZiM+kqH7vuRLU0L5qavC9ylz/nJi/XpA2sgi6CcuAqZf1Qyp7Bq7BFe505loYrgTkikJWKlL
GaQ4TH/7NPlr2GXbhrCxGSOg0PHS/7xQDchvDrN1gM0RUG2TspjWS1tyBqbhuSJQFHAJqGf0PxDL
zeAum4u3YiwSgJ0E96YeXEpHTDepWc37nsR7laCkX5mMBAYK2/Q3sTHc/fk1/XqP8o3V0ihG+r/I
SH7+xrUabYDpbC1bmzB0NGW71hIqEB1q9xWlbH3d6+lfmpa/Cfj5NFaE7hKhKvVxJ6WEDkNRyYKJ
BhQ2oXaaJOKjPIN/HwECLGONILiS0XaHhvLUyTUoVC41Q+rtGEElc3mjnBKCT6No3SZoNlkA4khp
RWyZ0LUpDVLM0CLtZtDJm5yJt641kVyQOEnaz9vWXk4z8B/7dGm/mFCnHhIyKi8rjJDpWra5C5Im
9CLfeE4riSNUo6lXCoSVM02HbWgvwbw/uDu1dChtsrhxoE5y7W0wKkZf0XP7tmTCTD/j40adDoX/
xdDG0SvLZthivsz/N8cGTlwEPAvkDM3Gz++ydOYorBlRtWOIc3gPkYeiAOnLFjAa+FvqmNyBJLno
WbHuQb8wFS86HwAtDp1MN4BHhqONrPkfZ30mB1qjUwRE1GxK2LGt/HxtbUKsZAgL3dpjRrv7NmS2
1V8C+GXR/RwzM1qO6AI1k9QlszF//iF1YNKCre1ml9tcxt045OsMld2+N8P+FNRu5sEYyf6bujNp
jlvJsvRfKes9XmMeFpWLCMQcnCmJehsYJVGOGXDHjF/fHyhlJUmpxM5NWXfay7TUk0TEALhfv/ec
73y2/cgLLey87+yZCwzu7fVN23OI2aNgN4y3+p5gEbsOAGZ3es4UrcI1dG1k9Pv9nE64RcT1x7J2
IFRYcXboDJ6RzGaHHDX62Mny/yACyLDT8UujX+YWsflM5ULjdSf7b93ojtlUPWjII9fP8wdaG4ZG
nw/IySaOYvXg1Ms0wKHJntKUBNWz9PjGpZ1LtO6NkoP9USegodaDs+oJF3Ew4m6nRfMCv/Q7/2Xo
kWv6k92k+a70EdhkHuPGP68cv6ksfJPq2zdIHGRXJlTwlcKlZ1ZXpkNc7SRDiucBQWEvI2EEtus6
4TGcWwIZRDYfRj3TcQxRMUS41lBIHZ7HMLPeIZxSgbVmt77Jl/VNuvd2ios1auvPJRN98lKZRXh6
Me3+/Op/XfdQxVNR8NzrHFPfnpG6VkPUSuNlp/k2TAPmi8tSkU2cip+7UXlUvLPq/VI8e9xT1Kcc
ymwqGd1bXtILRVBsNNGk8KbvaG2jQq9bb5Usk/vnWUzz/PV2DIV61heUHIhGumUM2LfSX1kV+eNK
4hlxELOskGq8t3i83SifX5xDXcvztqiGlt9/8eLcibhDLSuzXRJLenSK10AOK1MAxmUkxbynX/vN
5ZZHHKWSBS+PeO3Xl8MK6DQMIjO4GctdiweNYEVWpIZ7h7PjexWk/7YKBiRis6Kg6ETIZnByfH29
WPVMG8nM3qHfd84gnWzWQuWFo03UHNpgTLcZFUlSCvYMytB9Aq17bxhaeWlXtvdpAL54nfbd3rW6
q8YleFi6oEftoQdQyzMa0l1pTsRElbtgmFy4+iUEJSsNUKvAAU7mttw2CT886RVwYU27QSWfHtKu
NPDWNDLU0JeHQPDrPWcYFMQaqUehLZx0rVtxfxijYUtHUm6UIKypMIV1RMuhMVHJrhp882uObdbO
My0+Q0MlZxi3aRiBt8C5j7NkBgkd5qVPciC5jCFq5i9GTTPVGGR3M1GobYs8SkMv5qRGDCNphFR0
dAQVbXXMIAx+s8I6IlB10IFlAbbRQgLMq+3k2KWqH1BalBldssjaWZ709wGknrNWR4L+7l3d2lci
TswQx2Vz8l1tXoxvxt8d2Z+71sucdx40622hvvBhyDtARMuqpHNef/1lB0KqQMvZ5VFQ+Pvnc4+V
oxopG53JNrUUwGf9qpay3EX1YANogkZl1ssXiDs+9BXsa5Q91PWeggyc5PHX3EytrY/0kKxf0gAc
biDo9KDX4M0wCC9VuWWIYK+XrsTWt2btfqoG+xwsPz6t2qs2Nu9xnNjrYXRRkjidtelUUe7NtPHf
aTi93byQ/fFA8QRTx7DQ6G9udVZOw8EY4W9jNe9UTJgmk9h/b/F8voSHwhCgjgsA580HzCnMoREg
fAQDaU2OO+3XXi3+sXpGDNKCmiKU6r1T0duigIuydkIZocO+LBtvViih+W7qxsrDoAV2gOGXWpOQ
Khm7kb7qW4z0NMtpDhUkKIx5WfNOW+uXlqpnsc+h86OAp59Kx+X1XQUJNAdvUHnbzq015vJpw7dt
zWFK+iSloAMcLWj9HavdPW2HbJfbbv/hz5/7swLuZWH0/BpokZucZRD9LgLxl6s0j43yTAVYJ3Uz
Lewn2UBCsxQHcUxRK9UnwRqCSvM4EoZ4yQdpX5L8FYVla/p3WoY/PO49YNoDgXpdMfsPekN6eikb
qru43hZZrG4HIP0HR3kL6y3GgyBt9+zVgyTEDVXCaiQTZDcE7bXliXoV91r+TvHlmLyHV++RAhZW
EzQjKL4We/Pr9zglrWtLttBtx1N1Hiw1bvVawOHrq/74/CaCLiaTkkCtcxPzGwweo3Uwk2ubG2hH
Zkqw0KIXQYRGJPYBaeWA0FON51pvDuNsfq/RYuy13kVCRpRemAjrJjMB4daKzAoslM0+l5DXbWf2
cex7AOqdZqM5aYqaw5Wb3G1nFD7VMmMvtW1Rm3OoImcl6hhYkZINiSEzTnGQkKs4FreT5mhrNxry
62muP84qhYMTd0dn6Hixtp6vhIz7CzPxcL1VS270nwTchMX8+nHShEdT6dEKxsH8+uOsscsnM+em
rcgUvZNOI1UUDH4ihruigCFrdbaxnVuINIk7RWuTjheRy7W/z3x4SFpC9wo+nLHOAx6zFGPWCSy5
/iin1GO8HMwnfgrcpR4T/ajZ5Z5G0uLxjd1dpvdfZ0igJ055+lontZeBSmNvpSlJTlOmWmtu9bHL
Cf7qR+2+oCGNA1W9V9nYb0s91gzO3DyxFtk3Nu3S159AmrQkj5i5szV6Nm8fifDf5jgwBOOFR+yg
vrnpsFnv2oEEFEuDPDvNMsbK3Pr7yU7qMIWaiZm4wl8oFnlHwmOXzaBhgESk2tYcam5MV2ihQhwX
6op7ZGrx9hLCma473YdwrLrdOMVYl037buitBxvL6moKvLsoTr5x1ulWNfOpEyY/by8QbVyIMvGv
QTCZmzj35QZyCMfxMq7DgizonUtvYGcz8tsuIc7Io7nkGOTWOz2c3907TC5smt6sfb8UhdOYxMwo
uXeIBfqO28C/Xp4V1WHyAl7Qv9PG9X7ZuWy+IguFGp1cuIxvxcxFR69K78gw7ZBThSlz6AeEZfGp
xji21udi3Frk/FzGbhufTF+x4CnKL2PgQx97SQXvkz/BNPET9JnzINyLaHaarYHKZ3SPExkXoZx4
rvsUySt/FjSpO4dawH2pUrYPc+Bppmz/XjXAiMwKMZ8h5/7JqCooThbPQM2h8Jw2urvJhCW2MZL4
D0Ofq1sG/lFomHF/Uydgem0TnUZmg/Cx3BnuosbRBjFXcGAie9Pij9kH2cTKMQfdReGW3lnhroAs
yrLc1Fm2bZaXw8Q0Xwrx/oMzcW81PduMFgMiXTumBxRJtjyFgJ1xgFfk9KlS/xvHH3l1vcE4O44r
bRss7BwCaLSt5IMEeWO4m5heEBUoD8T8TlXwm7uFm4RezKJHX3bJ189Z47p5VghUsb5ClJM6fH6q
dticKvLNPYcH4s9L26/XY6qIIp0Si4O68/aU7mYws7W5crZ5Ad+1r3kakM0FBzRH/j6eCRf+8/WM
XwtLjm2Q5znxIlP3vIVx+HL79ZG3SVMIe4uOydokE8pQw/Ddc1IwiCpnPT6Ngb2wVdxtTfTJHhQg
3yMxEZuq4OGHG8QoYPCi9cjJGU40G5Xe81XruBcRJRjtEntooMCs1G3RsFw75bK5O5Fi50lywheq
R8IriV4unQjFNTeda+SP6BflBsoqyzspo6GgN3mP/bg5zK5/Ac4l2zJl+C6roArnwfmeefmjGfPa
Nb0dt5MfzSf6WuaGqBIaK5W6b2budSI+0h9bK/BPtVa+iB9QlFmbgIjvGwORLxoRnqYgYJeMuQVh
ZOX6aWjtdle5y25KmNda1NQlGaGkeHs7UG/LszqZrB+q6KYv5cz6lvXc5zMoqOco+j2qePaejGW3
yWr5MUkyDQwwe2aueEG158GYI+s5DLSYKcAkx5+/m3O/J1OnbZWncZonuqMLO3OQa3K7Sbtcdt00
NpuDnWQeDwvLRQJI5zC248yHODaHuMWUbkgG+B1h64egFf6+8XhCy5g/osMaDssoALFWIf5G893u
lGjUZWKgIirhIrEv8DYhlKSX4HnJLesxonZTBSFZRgGJGgmfHcT2XT67H9zJ+1qg111nuW0eeDr7
M54aa8MKxl3sTGSCyJySJaGMfn7cA5ePD6UpV9DYBSB/p2vMtwzRA6vl0M7X8Xy3/+9XE9bmOVju
a8XEIlngaa9/+Y/7quCfP2ZP/rcJlcuFXv7gnxcOH9vHfzz/RJIUl19snpmiN92Tmm6fGnBW/8y6
+3d+8z/+Ly2dYBGXnv1/FVDLNX7+3cvH4uk//9euenxt3fz5N35YNz37L5Y2Z2kJBjisgmWJ+4El
9fBnMn7EuELnlVGDxZHoZ/SE4fzlU9AyOeJIihxj0WL8DJ00bDIs8S/CIuBcw8Li/zvWzTfrIYAM
SKScT+CBu9R6z4jzFy0c0xv60smHRc3IxGgcmM1FactoehG2aUU6Hl98Mtc/SvKXIZcOq92LQv3n
9bggHXzsrG/X+1xYTeYSXE7QOKKW2Rbf+xnN4TTQMvrzlUzrzWBluRYTQMqdgOaL98uJs8N6ZVlx
POD2X+ILC8ep11LEcAOxtV1kEcVIN1vpLjfbMlzO/4BWqv66KcfsUAQ2gAPICAhbp6FG+9o1+Ney
QKhPzKpRPSUw4S9dTOHHTjebL9PAkrtuDNjsZBX6QMyKOR/Jq7CqJy3CUMZkgYQh+gT9FumPNE7I
APRrsBKNgK4+R/DGPPupdeNq0/hDil4M8tx39Dfxk3ATRBGlZ4VVlM/XgTRd2m1yEjtJIhlinLa/
SVGZnyQOlX4v7Q6NbBYHvJTOi6JPWLRoj5qxnOkeEhstVsBcPBwqQvN29Qxdgko11eQaLwMt/sZW
YLnokavvRQqpy2vcw7OQzOhxdoCfOJeTe186SVaHpEJHx1lo8wkvT3k9jvl5jM12Q5ZgT2Jk/aAV
SF2Z096kNqabcoGoL5pm5gnxStZKrq1AU+cphsCgd7R2I53ebW4EeRxqLtKIJMMMYWhQ6pBpPCQB
TqpiZPoyyUUP5TEJHHvvsi1JoM6RVcXPzj8DnYwDTaePStrYwkTRTmaHqd1OskepzVLP6h3v6FXY
YQ6h3JTYIbKaOUdEGULzQ3ynIFg056gSMeLTTB5Q2y1uih6nzqqKmae6i7nMdAumXYhHh47ZV4dB
EreAeBQmGsqlL7iIOoiPJ5GuITbOLrVdQtu6ylTI3kiGpBXT7bPju9Yg0IgZ+Teni86LKlNWYAqg
Wu10TIurZGDMtEyOIysb11VhfEvdYmth6SE3ud0tStnnUS2pLA8Ov+gj0s0xhGHhORetOIqagxgx
24jdY3lHBPZOQ85ALMYpjhZWmXaOUYVs6oDhrj/6zK5kJKU4p5aNEBSpdHMlW7zCSB8AgNV4r2gE
WkN+0oPxyaW2xwqn3G1W8OWpxX0QCLrNfTsARVlIkfOiEU0C9A2d7V+aUywurWj8EkfNp1GYMJDM
Ade1RUqkG2n3kSXOHBX19WwRKl5pDUdMtvDnke/oipOIsmrnKvMh0wPeAJYYPeJyi8EscsgfoRm8
yl1AgwuI1a6rHhUnlwauRrZoRSChakDJ8cXexAXWv6gaJub/HJaiggc1Y3R331J+I2r17imwGX7T
a+7JOWTaWn8JUF7+D++bL7fNf+yeqmVfat5uwf8Pbq6W7i8V+H+/td4lVG2vkN8//8qPvdX3SWha
nMO0bFGr8Lz+c2/ld543NrZdcp2Xf//PUCf/L3RINCFJ3jVoSHv/2llN769lt9B9i5ioH/vxP+uK
nzvbj1rnv4lzXo4u/9rqiC4DLK6jJ0NAY+u+7bxpokQWMalDaZp7G+nccVYo/EWVXNiRWR+9cfAw
rs2kuMRNtRlqMX5IFlcyEvRgJWHeAP5sUM6bvf81jRsjpEXr3ZZFNx4qeDIXhTfG72yYSwP2T6/3
TcvD0Sa3TfzJoBGfA3GyQcPVps7GVXLYqFHGmDLQSQPSo92Lr/TnJ/eyJvgxOPvTpd+0n2vXLmpV
WxPSQlA189iml1kmSYWSY7Wh/cQZJMg1pLHEMmSmczX2aFdcGRByCIUQH5BDMM5cAlDWhmJVBdKj
Cx9f0e3vwNLw6bnWeJVbkbiIEHqvE4/8v4zD755Ty23dpxuVJx+yVHcKtlWtVjRW/P4hS7SJk4cc
5HUVF9Uupkt111u6OGcNQt0sJ9MI+VdxLAK9unC6ILlQ5Tx8jvHZhYbG6JwgLHMzQfHiUNtu9PLr
1Mf6IYdgx7iKGBJE06EYDP2DPVTjwevLYZdbuDuiUSSkMHRfUxU0LXNzs3tAeKDv4pID61yVYA0F
QE4VOxXG5/SD40ZX3TTcyLTGfTqEQ6492E0ZnHDyF8cpDT41M0EvmCZOarL1cIpdlBOzuAD0nKxq
QWnhT6liw0t21lDnq973HltArmE/ILNHuXbE4KqtzH66Ij3L2TYya9F7YPLRYqs91v044oyNzDDK
sZlFs7UdFSYmUd3n9niM5ikKgbWTdoXNUhNw4uTRNZb+J/aobZrZJOWIotkmM3zPKvUZrQw1JOJx
ykLiCwnITIF4N0nd0mZ29b8HocQGNjdsKMdoJ/QfCTtwYB15alCndycyKQDj+WZPpOd4PzLKukE+
1IYj+cGr2sVjYw/1Xo+1e6Mch01CYjU+Nr4TkqHjq6DjaNRbGIyD2N44WWpQk7nRwS9dfdcmcXTA
WOqvfZM4WQnXDVSgi7a/A3XYQwq410ZSgDOx0ZaxGKiIAzWWFeZxksMD5m4eHYsDaq0hNPSZuxPJ
OJ0GEeskTbfJToc3Z3vlfZu1a4WEcSeZ5kLKu0f7EDak96zQpdehM9jAZjNA/lY7rGkYeOuSYd46
RwJk5F0dkmiy6nqCgBy+TRqX0c51iE3GromIC5ixU+ehlcPl1SLNX0d5ivVKgj7z4EDIfLjlyKyf
IDTxqA3jQPrG0K2quvVOEyl0d6ll0PT0CNUd7LuscoCkEmS5LiZiQrIuvWTeaUJX8cywrboW4BRq
yEkzd/iZdo6JydZ2xW1nsqk6RXAi4/ggC/828btkJafxvh2Tk1PjaGnjy14aUGAd4pO8fjMSPJDL
Kw+q3doDxxrHtf/BlFkCoxP4qN49ZgknXlco2KKgoYryvtHUxsSbK+Piq26Um3bGepZ71HzSRK9D
fPdlAJNyh0t5laTyJhmCI6ErV6MnjmlUmvTbAHWuomnytiJy0YcSrNx8MdAS87mX+h3G7S22aPMW
wL/YRpR4PNv9+LU3Kaf1UrnQ6EcreIyJM1r4agkjhcbhq8I7sh46io5I1vmWEHNSLWMgkSMJUlgA
k/JgwtBa1V0jQoUE/8aPQEzlfYabRpfdPschdrRYF1GT6B+KhFQVVj9CYfWhu1cAPejS29rKEpq+
GxAT7PPcA4s5lJ4O3nnUDyB81a2k7rkeOqveJxURe9HAqCNPK/J6Zgtpao55zJXRVQ0/X5nkEzpu
dj+VaXvMopb9IbM/dtMcb1TtwVibBAHaZsnww6zVpSn9bq37URy2NqAyU+EISjMQZwGO4IPwxhzT
l9J3mkiSjUfON4td4zwUpQZWdma9S+01Q6d0X4K1Q4aF7lAN3oztqfpOitKeeKN25wCiWGt9lu2R
x3y2NGVv7CS68RKo+EYcaduxGQeIB3GP5zY1DgQMlpfE7Nz+eR97fbZ93vA5mZucH5gkU0S8ETob
mo2hJmuMPU2zGxIH3T3yTyy4sXP684XejBV/vdKb0iJrxzLWmefve9E5ezsKnoyZehX8RLUmI+KL
a5aci9DQrcj5g/jnkev755dgmb9WC3CeqHEwtjJze5sYDYBwSMtmJp+3LzwserapMRYi5oMJkBdq
NNRCDrnZXTvX7T4rNXkZLSsJLiH9hI9CngImGBheqwc3SdVNNnAQYpTIKi+Msrx0vDmCsq0nIWwP
sU9Qzu/NcWwwOE8sgqV+VFL396B+vpecAldaS0BVoYobXoe2EW1Oy+a/ys7f1Ci/+25fvt03ferU
znOzyvDKc26Kbhs1WnAvfAKdfW3+t1rUP75cxtUMoPgfG/U1n/yLloyBIqJos9HYJ533vfUAvE6O
/TezhzJUTv3w5/e1RN+8rfoIHP3X1d4IjMhyKPqxSs098oTruXOsT1YRE9w1iG9GwvFcull7zew0
PvqtOe8BMlihiRJn5buivYACv0/5JsOGxxD9+rhNmw6CVcTiJsauCJOEr5DYRtyEIAdDc6rKaz3F
L1sjP17no8FPq1IO5xxBx6UokUt5YlOn/Pl9vp7nPX+oVPzGktXq+7zd5XZ+8aGia3R1jX1k70pH
wB5guFiAJKV0c7XrBBglqfIyz975Kn/3oL667JuammwXFjewJnvNdng0lPPNgwMWDgqkYgJZ5lhO
OBm1hlzrpcrxBiwpf37jv30JLErLBMJfDB9L2f/inec6feq6SIy9leSM8dkSE6e5gBYcrSNwNxgY
3CvaaNSb8DJZ9eX2zy/gdYfxxyf/8vpvnhwEOw2YZKL+2rz722qSkWZNZB0LSXoZ+Qrv6HhejwN/
XI05EsoljIFL/+/1u42HBBc1c4y9YxEzROYijbomajd/fk+/WQ34PP91lTfvqQGFx3SzsvdFOxpw
n0m8aUp70xZu/c7X97srLW9FXzqmDlO21+/HqAkGRfar7+doGFaDb3zKmVaxz7zzjn57m7y80Jt1
gPNH10a5stlNau8pGdqrFGHNLuj8aMWIxLrLBMY/gpMoj+VSKJt1W78zzDV+PTLbmCRMHlEdSB9n
99fvNorHgaiNyNp3Xlrv50H197VpG4ckGa19bY0fqhpBrOjFooKkVUU3V649meuED2uPmpdkm7rS
WDGpLspTJopPsNvzayMxP6bKrd45MFu/3mzITqCk4LhYXrHz5jbQDCgHxax4aaI7EXCJ5SLWEcTP
Oagcbb4YA5fA+U7fd02MI2ZI6hWHUEZOI51TxynzTV+wnKq+PFCmRhvSv8ICBQ1uUIOO1Ci/1/Ug
DrosKOEs+2R4vSTlweN4NvnuutaSdlPPFbVVvXT28iczwUU6DRKjkItasWmaHyXO/9iA5//bRpWN
6vfFGvHLDOhDS2DKf1yrx29PTfxyGkTE2vI3f/armN0sDzPwRUYfOAK5Y37Ogug9MQVnRmSblm/6
iz31Z8fK0v+iU7XMaCzgfCjM+Us/Z0Gm9RfqFI59i9TCQL5v/juzoNd7JIoXzpIGCnrMvzDpjOeS
78VO0QLCcAFf9Ls6bYO7oVPTFYEEnG4tpJlftGDOToMeyPq9TfKHyeBf/Z/lyovGBqwifCjTpYZ+
/dx3DcfY0SF0y7W7aJsoy6kfsRJMhC33BvEiXW0AGkjU0D3kdVrPG0LW6gxmRW4ROZUNuovqvjZM
UrSs/HMkowTWMQd7dK2TgD2oCKDUmxp4R1ZETbcfTKNUgL0MGsXG0GJlqwEtf7EGubLaSZU7Bkfe
Z0hg4+NUmcHHQicce6ObfX8zNZPH2IO18JTEeQZruga/RswuLZrS9hIISU4f+kVxsgmK3uHoYTIE
Onkuv6RSg2Zk9eFMAF/YRNVXZCDGueFMdBN0mfcpQCkGc0dLz0ipjXId0/Os1ppwow8alud0w6Cl
Okz+kpgVTU9ehVdbL0CS9al5aE2SWYYhvvbjzkMcRSJZ6ZHpqhklA3EiYoZ6VLxb8673NdbPwLyd
EOSunTQv1zlBDDTtLfuqrIkWHSt7TdUvaE4xkhkUpGvsuDlWdb1cuTVKDaicjzhJITAE9kl3mhBu
JKI04NMQP1BHA6uR5I6tSIzaAexp1lA2c/5QNazNqBmuBtXJs97Rz5kZuayivOm29AmIblN2B90C
y30niD9ph8TbQG2xoJREyK3IRjyYekNoYWI5B1v33BVBqkgqVNcdI71Z2lexiRkFC3/nlOYevFa3
jWguHSHHuOBD8wioNLYldhcNRIZdiVVjiPxQlpr9rTZ6se9sXQvRqmqXM7FCB6OSye005w30FJt4
d9FAG1r5oGDaFTpOC4Wfj3E+xDZgc4bx3eWYadnN4wQ/qEJvSg7POoln77Ng+HHhTYnxpezN4lvr
MeRY+xTT0EDiobtF237WR62C76T05DI1A/KqJnkSuq0dC6uuj/FcVJ8KGs581qliLKnPbTxvlEOu
BnjumMm/rleuC53Dra4Rn8It0iMHVDXxvmVoFqZzaTcZebRU3vk5x2W3G406L3aZFvt3haMpZOX0
yELploQEOZrR4sLw0IToyiL/rZFTfwNPetragqDboxD1TFK7Lr3P0L1AuECKmS+lZ9E9kJ4W3U6D
rx+WEOJy7UpRnGceKOgFQ4QQlNCLvR3k9n1FInzEicJPJj7MjvA+i/wZWN1unV8RU99/RJ/txCvc
j8Nd5o6mBZLEVsPGdwYhj9PQGk+VrOWOiGXjI0M12e3awrA5Gw5RsLUtcwKj1EiMDKt5crRb322H
rRvI+ZQ1ZEQAAjHJpy1xp+Tg+dP4vjOThQUktRN4dGNb8x9rTTS3d9vNDkx9a6Jbmc/aVWRP31yR
fWmK+Gz06a7WNaQ+k0nvntC8fY/U4sq1U6Ky7e6ctBn6v8nNzkG7TMWMJTFQxwpVzFq7T2t5Wbpz
cy1T/VucGe5KVYpIo5YDsJ569UXpednWRJu+9YiT24rCS65pb7S7UWv8UzdjsUWPWH2ZXTLspkJz
L/UpJUmqmKLhHDUZ0VwFp3CmiWayRG8wgk1Tn2bZXE4kF6jJMb4QnZwcsUDmJ9RMdMCKEUJiY7RW
aIB8dJ9kNRl5svIICAJMqBU8l9pDWwgkGw2mfc7QHzKIn9um7LubAMMjwVUJZoCW8+Vx7uan2pKs
H01l24jN6ygMzMkDzoQbwc5muKtLOPpQiORQkShwDRYjkmvH6qw156jo1stRvCxR1mpJWsvaQyZk
/7XViu6yGbom26CvQ8eAfPPKh666RlNJgFVqjR53VqRoFPTiC5Q8cp1Kh5xOn/oLL5e+zhOg7ulo
mh/8vIppPeoag+aBnzByA4shA++OwXkQ0b7LzYIZrHNs89i7qE03PqI1+M7ulFziMKx3ucKnsUJ8
g7Q8XQa2lGd0g9U86xPHERocoTZJ9Y35QlphdqK/5rllE61MtBfNJlZaCgbJ6cXFGPe3ySSyT22C
jyf3LP9JJ0VwRwTzKNecUZKdI0kM29e1m9qbvu/9S9lmxUeP72kNSIC5CMbxb/gS7OtmlNGXKc8N
+66RBctsO5dxC+LQ0olPV2DV6BTplMmaIdQmq9V8IZKZELRO/1Izadg6RTOjljD6k5eQxqzKB23s
6mKNwdqk/UtMhxcOpHsa5LsvrSB65D5x3DJp74fMtEnhNFKbSAxvGDeIKvG098xWACAw1p5BaHWJ
CjmratfA7qPLURskPxTNmm9voWomaLhsTMFSTBshDoXhpZvBtxVZEOxMDogK5sdEuHvxRdDr36Q3
Mm4x7cPQ0JakfJ8OyRxgkhmludc0tBGJiLTQNPNz7efjZu6Us/N7Ua4jYUbhHAu+5Hi0T6kjPgor
EBvZDtwAaLLDQVjtCtVaw2RZm+PbApbAhjbGVhuiDY0/Y9tOnXmOx6QMczAwK/Kikm9MuuE4Y0y/
INGdcbhmLPmzY7aeGokHvonUrvamOuQbGjbUggRNLz7Bfpw/RHnPB0m+9oYJu1zlsowIfOoxwzb1
h8FhjBFUpdq3mESWUoPxENhNJHW+QVhe4NNer8XGz5S70YEqhE5pu3uX4f4Kst51o008voVpX418
7/qQN4Ssqn60dxqJipuMNvhO+dnEGURZPPCJ7ZwoF5rPCZk/xDIFjrPtmqS5BvAeQDpsG5h2ZTR8
xsmb33rtTMcvyLPvzei4B40t54Dbb/iU1rkbMgCo+u3g6BXa+bFDh+Pp0Xc9nnFNoWgjIyE3EVNj
l9jhdnQSMn6N+FpoATtnJnr96NJV3I04bR4DQ8lzr5vjVRG0nPu1usQsCQfcPZJzgVu4x4pxFLh2
70RgOCfd7437SabRU94AKwBP5xc7X4kkY2EyokPa6s4RNF6JDmEk909gED7yqDChhPTYi12l+9mu
gLv/0bJ9HNcOoVmwXuE9xWYuviHCQQPDcd2r+BLK4jrzfe2eFna6T+JmOqVjOu9KfeofiEkuTp2c
Sg2hhAuOiSHN1my6gChPXSeEwgEndZ+l0/TUofvgMfWz7Ba7RX8bxOSGkavqxiGlbbceKO23RAQ1
H/2p0i+juCyPcWTo4FIRB7L5eYNg9OmKh8Qmxqko9PzkjNp43w+Fve/LpL9B3NxSTbrRtdVUaEEx
c57AU3jEgzHClgLqILIMhBQG46dWXCqyw86mjwZoA3y7d7nP4PaRGwUQjxWP+EBzTs7IuGcCf5Xa
VZpJwQNhdeTozsli1TUjhoYcJjqx8k5UXEYgDndBXpKHzEh0bRZTe+u22nzwal5B6ZfGB8vtQe1V
qrXuo2hwybTTzNS4Zotgf+uERzZqhvM6LAi3XSPtaMJghr3iWgBcyUuQl11mg97Ig8c0qSF8mQYQ
Ux+1ECFqC6K3jr9RtOQbza3bZC3mnIigbpzKXeHgcAZE2HzmoZ1vtQDE7kwA1w6nBJZyDQJ06pF9
4BTAXZG0CtLElHk5EG48PlaWOcobJPIyv9PI6/M4uc9pxEmEA946MkQ6INgnrhQ1eE94n4flFN6r
3zO6rav0trAHcT/W5NnMGO53DK1EtYFbL3ad0pubejKNz10V2PfYn+loTsoMHrpZBPMmTZLyThRa
/G0c3BTngW09ShuO1cqTScLXUbvjrU6B+qSsaj6KobL8VZGM8nZSBmvFLE0WaApvVjWnBSspRxhX
K9VY3Sem9/pjFnk2Y2jdVfc+Hon2ktBP29rMILTh9TY+z0+RKoaqU4rzyhFTFwaF8FCCdcaUHGoi
sGFiEhGN+8FpFL20yTVWecbTa0+pb4QV++GpMtIAO50l60uhvDgOB2hzF4zsPYPn3TMnNLy1QDzV
WZ/zeYh3pRHUH8ENd48mR6K1tGt5+0xQwtsoxrwJ68b3Ty3ZLKHgPoRZ7eqPqRcPf4uS1BU3cZKP
KU7IB6OuHH/jBpNNpBtML7RN07YP/OrKnC33RqA4FytDjBGBcvlGTnV2oKKOz6NpD3vZdPO+4yN8
hAXSn+kKu9d2XKttgQDPaCvvKvHSJZzaNMIOSd9taWv2RdBaHcRRMnVJysAcvRp9iQzDy6foVKlZ
seJ4hMTH/t9QZb5p9JJuuloHizFKVbBamw3GOrcPvnd+7a3jrki2Nno0Rvpm/FGBo/s0pDw5uVa2
n9JcCLzkrnVREk90THK7uMkq+7uwmUrT6gtuJeXsdV7QgRqTpH7CNYTNUwzmnoHy/2HvPHrkRrZt
/V/enA36IAdvwvSuvJ8QZSQGvQn6X3+/VPc9T1XdT8IB7uQCZ9KAWlXKTCYZsWPvtb7l3s09wRVz
pOsrY26HB0CuoCy1VF6o8MzKokmGn6VWxSo3qvY4hvawbLSo2rlRLq97GgBLq4pLSOHJUF11nEnf
6sm00WeBN52wPATKK5vLnizJXSnqx04fY8bonon7KM6tbjWWvrdoBiIWUUPOr9LNJhLfOx2ttEUN
1CbmE6mx5qnv6WJkbuo/xaIOSd9hzXci6jS21f5misrpJaYWuyjaaF7NdI5PkG+ZYlHlpYTtkZo+
a5W2t5j/n5CH2fe9Yr0XKPdf4rgpVuHcxq8TyngH5AxHaoOwppMH5qehZ8fTFbOrYKiLQUL47Cne
4PSLZOKMZYXpeq5kcioQWjxknqP2ThUmD1rJfaVg1XAS7IulV50VEdIyrgCKmESa9cNS67vsbpwq
8ySJWfpuD6OkTagX5p1HPXmh5+x5BFiH1ocXpZywMJE2Bz1SPgLcMIm2GjeaQeZsrxkkjKfdY4e4
gwR2za4e27Gqfc5do3GbOlN1JxqT1GZN0lsRJM8XJFjXxZNSWfg6tPq58xqxvhxU2bhE9loR1jUG
ksekyGaEm25uN6g9vPA1agfOV8hNrLfeLdxzUtZMhrIoX8eBAYkZ6uKxdGnSOHlbHiMqNWK6WDt4
Q0mOFtbL1nEv7BtfY/U23MbZciXVZWOcXTNp375iHegPRl+fdZ9euCJBK9vSxiaBCcHVURGME5Rn
fWojGH1Eaa7dwJ51FgnypsBAOcgSzyy1xFtHtJ87XvhM2h2CG0mldwp/gjAxRMZDwWlDMsuCxttj
OsE8o0+rKZlGNwhnFB1Qo6fpMeUMuYzC2MEbEGtMONsBiEBvhxyoTUl4/JoqABGs3stn04+NO5Hg
wMZrMPMeNFXeTKWnSBWNouLBzuvvKo1rb1WLqXgFrDt9L6lBd9LRWIZCTFAyr0tIg5qGETF+SyMa
W0aZIgWeXrPRmZYIWEh5b1tyeGWin4uxBxaZcj816lYPB3MTdbF2IHQe1UlUIrvCgYAYtzymHTnH
svNu2ljZl6EF7kCPGLgGlo3YmWi6dOe0RXEYwMLuSC/hdtBo+u3nvOlK5C/WeZsiE7Jsa4RbTNxA
z/OkIR4eu8k7QRSV2Kz9ZmP4of4muX3eKkPHc5SSc8/vZ/XBlSTJ9Zyg1hAx25tkEhgkpbFhbx5u
0lAriqA18L90moOWSgM5i+uquXRM/fLcE3rW3dAGwFUNDB5TrUguqexy4ghZr07QF126XcpBvI3u
B05nwsEzEONs03+b26U1ygyIhiD7zB8a95rSICMlTqbhpZnEwFEHobatLd1FQmbI0lK6Tv7uxHOZ
hT4wdiMn+hvqHKpmlMIHu6GXuLA7M3yso95cEzmhnpPJ0k8J2YdolCWiE2X3zrUVd/Wp5tUWZV2H
VxLS3EmvIF8GoV+KA8F6YmuVabI340kdqlavQE7H3g1GH6JaGH1GS7PgOZ1U317SXAOuzXyMksYT
ebqqe20a0OJXySqyp3d/rudli7pgMUem/qGRZbnrwzm8dVmZkFyT5sl2hGnbnb10HSVdtG4cfb48
Kzo2EqFuHRhJ7p3GtK2uybbQufVqxiJSQ9PiEs/+OiKi3ldOldy7ZK35LN6qpt/oorujeYVoAc7G
JWcC88GVEz4wXe+puYS9tRSbWQvHORIT+uPU8JCaaPdei2s2mYYz8iqP+DbRfK2SMRuvRWhmC1iG
2q7N3GqvlTp4Mq2oX3RmWkuyLeOlyhk/z77aclzfpEZeX/YEMK6bFAelMY9spPzR2bW2lx8R9A9r
BHqVWBYgbCZQZ8wWbUvyjCP1kgvXm8JNl9bN2aRj9hdEg6gH152NB8b30TLrCAUO6FzN0aJ3ExQv
WZFyTmYydJeSNaGvmc2O03IWfVKsNbhv5aGX0qQlW5Um9y3Nj45ghkh7RBij9p4ucd72FNEpyvek
v5kn2cSHUrjxLfx7faCe0Wj2ziARB+ivcfc9Efm8mbvBfUlNssMxGJbGWhSZhhsswY23dqySdSup
JSmYWeaeQz4ZgN0o5LTpYvBj80zR9qvHjsCRt17TpxmwzqDbu1E1ZEhDebbvcFMXT7UVDhsNBvnl
iAYcz4FTq+t+imbabYQ3XFWwj2+s3iaHPW2fHQP3VuipNDBgx7xoIJUIyUTkGlvC2ivPzB8A+7ZV
UHhjjZ1eIqwsjIxGSrvjKswrhVD+wo3PykwHAc5t2/bjUg+n+Y72pbP3alNcWZNLiyEZvOoYdTNQ
lLa2vA+6Bqj3osL000BvGB0AXNLspSaGZksPmaQ+dIzjE4YPNghaqNMJ7p1YdfI6rkQHbgYD4V0K
9+oYNSEBKm6D7j8T4yk02Qm2im0mD+JZtm+eTJCpSBwQKhjLvCcoGRbitVdZMDiqYcp8MM4TRozW
olML1cWDkGFZZbJmGzGvMttvry2AvI80zodrze0gHflGtokLW21aGGn3VpqOlxb0jFVM8p++LmNz
WqrMSS6xUcH0LAfPfWmrVD7Ho5sdWmaYVw0h1DUtSFDuh9obmboYZOPqREAaDmhgqiyE9Fr/NM0t
/CmX4notnTHZ6DImS9dv7CYQIMeKRcqFuC5Jctbw8JnRR2hI0UE3MozbKKTRy+xSz2+TmFBGcg44
QPswiNhOlbNwfclBaswt56KBwnxTR6V+YxKhe4kTvsAgFMb18zx6MdkwCVr+nmzXkw41lzYOWVTF
Nm5r455QDPNA5I4bLfI6Jl9ddfQ/Ay/JxT6ZtPCdsMX5tfJ5eFaDpGALer0eQMnPsoCzRGDrZm76
7JG7DeFmARCXmr5Q46XSrfB90BBnSpOHyDH4IQF8YmcZgK11sxB7KUN9E9W5OrC2swEpX/9QdtfI
pV+y86H21O5dLa6uR7cRewyG9dEe2h5pqOy+q84G68xtWzPjP8uX63bEWJGEJGBm3ZIzBD7G1kUE
Vdiz2CN/yJe9KLNbe+ydvWbirpjTqfsoktqCFQcyalNlerFNbDFSo0V5/WpUupKriHjKG45IdL/P
ectpb3nXQPCz9xmX5O1sNvynYR1SUV8/RS1j6AYCEeOOWCht36Y4tzqu4W0xqPadHSgnNFYM/p02
G1iiMdea8Qr79VWXC3VTophiesDaUgR2Z9sHX2/bK9zn2aEy+CUjJNc0Agd/5YKIIPh2yrsXBIvq
vCH35snrSAcIBacS4pyG7CaVNfZQ6SdmdRuG5Xw9pozYJMXNUddj95rhVgFB1JA3ysTrZaYj+d19
zVHDLptV0xgymOUQXub95O75teiSp1t7Gw2EMfzxSYY9XqO4HF85MnsXHVGsV9OYf9SGs8xTwN21
LMmkT/zp5LZTfhsP1rBpSlEuEunfTjGZHpjbgOC4tC53rSKsFJMMKvHE1N07a+BzEWDGwzNBzLMz
nuug0eC69RxfmdB0dDi0OA93LWX7i5ClexXqOjJ82xqbG5uCnpNA5mh94HXsckiuq33cO1YOFCBS
zxEWHHjT3nuJ7jUNqlY5lzIyxWlwS/t6pJ3xUgh8CkFqhFHLcZfxjey4mwY92rKqhldlXHiLCMTS
Km06kBdF2GsEEtQdMspSgcej7d4YZznXhKGcEuHQ4QZ7tCK2LJn7lCxYv4ggOkPobaYtyJuN6oF5
arvDylyuZN2W21HC60b6hm910j1waRYmrEJGI0Orts1fXCtUJ2aHHcyMyfveq0IdBi3N6AUb3rMu
pN4EU5d52gJWhH+WmlHIioS5lTV3nGBMQw4HZSpaOXmNrJ1pDu3eynmtHLuwFzJrtR2KK+5IeiRg
0OhjnNrRYZHzRV2NQavkrVMw8wFXPNzF5A194A8a32LK1jvImZjXiJ86r/9h0R1dP/HIfLbG8aVO
mV8GrArRAy1SSpMZrz4rVcJi3HeeYA6TthYbTdrK06Dp+lsGfCLH/IG4keELG9dU+O6OkFf9wIdC
WMgePC4kvrTd5LQROxfwsR3mpcpGLm8WVZCE2fRYe6nJ3AY8vWlW7PlFLdtV6OpluCjDs9+7FeBz
uxjlMiUqojdcpWpPlPA5dynFVEz4NxGwrs7EL0jHkt3KBOCkBYY/ORdox2QT0GhDjZ5IdrEgL9yE
2G23s+qjT552uCCAMdqSUlwSoQba+z7rG+YoZpEeMOeNENhDTdvRZM/F0mnU+X8MPHRB2MXmPTNb
KwsGBqJikReO81H3cXFRMUFFQ4saec7YLoPQYWvftXp+Tnwx5/GJfrO5atJEu8NXoKPDbOc18Pux
XdjMB1c/MllGAtlQuvXmR0r+BpvYOagtTBu5sIn7CNcOKoIFTrX8MIP536N+Hy+mM18OHg9N8jNe
kzENkW4oYXmySD7TkuHa1uiMSjVwulZPRLQ1+ykssp2nFfD6U0MtB1yG3wyAMaeOcuLCPK/OhKxD
lCG06KgRAb4Iycg5zomD1sfolP6ka3V8oYgtPKXNQGRxq5OJDYdcET0HYk6SYnLdkFNzLLHFMEZH
/2WbIbhkclnfs6oXq6jymmPeoc4i4zkBcxQP8bLLhvldRdApI8MXu2Yuhy31Om1iYgicP4V+/9EG
3U0VLu/Xj5xpTUx2WPze/qzwwX3mo+v8l5r4b9qgy49YSfTGf/rNdx//9//89St/iYLEHzZ4Jhup
L9YzJJrIzP4UBXnGH6C4dKxjOrpN3T67pf/bxmb+gaUZtPCf2l30Qf8SBRkC77hpkL/oo6uBOuX/
W6KgH7Dnn8U56HGQjuJlszw4oe5ZmfSzgDSGE+PZJY9XlZUoGRh8IvtoRk3nwNyg+hcKaHZlhEAe
HDLgyRvBweoW2ToEJn5IE8wz4ajnVFlW7FcBWoyOqLVWdJyNB9FszMJpTqMRS9J6SvLGo7b1jEUR
D82eRkv9NJMKxJyozHYsFHILIYKyPCcipCfpcItLtbiM4fi1QR21vb/Ecd81izwlzC1gSN3RYrGb
ptiRwG4fiE3iJN5VtlrhydZOA4DqOtCBFeHXZvT8DXUQHjNvMPy32G+8ha4P3gncf7wvO5+CMk/J
5gIc6z4qHR3OytAlW0nK3JT5edxAlTWtjhZrUiQPzK6eh1mPT3ET34VMfxEQ5P3OYTb3yplQHmyz
ljdETbm3xKdlJz1OzA1WJbWCk83BZyrkrgeKRvKPvmu1JltHZTGvfC7dilEBo8ya84ZeyOGmKc4b
r++dvHLMDmZ0nlmo9MOMEGp3bhnfhFCHdgVKj5XDbORlnEuXRj78q2DWtSIDH5L2WDEQ2uypqRLE
JMxr6J11HKWDEgLFAV45+kUuGkxmJpRGHVTjgFIjp21yb0SzfuVOarwBOpT5GKVi8I86JrXL1CIu
M/By+oYlffV6N4B9OrhRZDacrKnGSi9HP0u+EsehvEHncBjOwciLFJbkOUXR7phbVRFzyj5iJuq2
gkZbMdnFXo0qWYSoV84iF6+OqWmwwKxdW6EqH9LkImI6c4G6O3mhR2quER5hQU+08vyR+oxDhu/d
n+ukldN6I66+vL9sDZHxVfq9mqgQPKclqKfpbz2jlDQwY8t8JJWOfmVlNMCAhsa4RiDqXrqm3eds
bmHJkVFkABnxly1QT02PLU6NN2ItkmsVS2tlaTLirB1PU3Qc+Ej9usuojZyJaGH0E258w6HJ28I4
1LduGo3r3MnzDJUbUcp1JcpTZmbtOupvzSbuFs7Qr4UmH8qhxheeTv1F13KNDSWS51HU3ZVTNrBl
bTrCXlNcIle+sKaJGq4bZ+DFmQU+VeOSaU25aGh+nOj1WfkmcxwITh3n783QNPFAZXIGbFYAuOZV
53PEW2jV6CxtTR++iSR8bq2sOXL4KE5D7Y+7qBoSjD6zIJFG5faxnMZyX8wK2jGA7/AyUXiyggJ/
/oFeYxOuzcGIxQLVkyBnNFMPBrt0u6DfJk7KN5onxihFvjSaqk0D4ZUuAo0QL+zgMSbdEXPGnFrn
LDO92Dpf0q3yqPoV6JuPzB9KjoNG7brV0ePep61h1F1sPNLQHcedTISDQCTqaffAlE71d8sNQ/9I
ZzdNls5kxXwV4CuDoRNevo81/vkFp5PpXiL1XDpdmz8a5mijLyvjekMUHEeUuYUcsGayhfaEJVpP
V8LpskdkzMOG5F3NwS/jPnS1PxwNq1UXnNSL+6whR2ERma5AI5SN+ocQidgge8tO8BjSNS7icN23
CcqFYpqty9IYoeGo0HjOmjFbiKZ1tiNPEStsFa09eiV3Q2ziksv02ZkwW9h1+RH1bXk9wzD7lmhq
2qaimz+aYexXhanzDxthbDARsubzUD0CjXiHSsH2FrZQZP+0HH/GG9QK2PCEUqO7FjU/uovwAi6Z
W4YYKTlLutvQHNNwmXdDnp0K7EHmDmN9l68ck9jcgBj2+S7pbBOZl7RxkCEOteWSDhNcAigS0Zl9
4aen0SkJbxSRta4M2RfB3AGcM6uw3Ex+OS90sEMYHaNLVGzZsWFyT1jyOBLubkczzUFuwHxQFdqc
ZAbN4LvDZhrH/ITeZrh3QKkyh/NdjoS2SbYLZam7aHAdZ4SvjqCrRVefVWaad2bo5xaVbVaJZJty
EkWTFefTu27XUIL6dPLfZK2d7dJJPOBsERId04SEEemjmAmMgkQ8TQs7duwJLEeZ3SghqF5hbgh5
CF1Lxku3o3hlByuL+FKUenMYcjmUu2SuELCggR/gu1O8kXXAU6C0/FBOWbxF3IbwALXQCDCUZVIf
ZHtDZmC7Vpj2Xut2vrF7rGpBmIbdLTGINoJNMkZ1YCONQLzCdAoy8Jy6r0006RkwztF9bDqH2F/b
rZgNpe3cy1VXk8jLFOrci9fLpF3ARJm+UVPq99hvh9vWjzCulP3U0iSGyVDzDEP2M+0bQ9X2I9Tq
/MCCbe+Vg+fVSRryBobphKnbHhf08gbUTukRMCDJSjywCDKz+QN4HqKNzrIZtpizgrYSy1zhMOWr
jIK6zhtMl82gFRtUmdZ3CieggJXm5dO1FenyHtFEf/7Xde9AW9eNNrFVWveoLljvkDm11R66VUtf
IK/bS010WXiWkvqPFcGBW4MWER5xW6+tLSLIHrOMFobj0pXUa0GeN6kDa0rxRcd2kuSXauw5dHm9
yp7rMNUvmwSNZMBkkolC008FNQRJWJx7s+65zov8sjNnbVmSkoFRivnjrZpt7dXzLIfkUPIH4hVH
fBYaPZfnM6tZ0yBnJnvJp673oSQ2Zety1huZPnTqm8qkbi3zaIjwjhPCIrblhGQjaDoiyBYehwu1
kDoE1iWtaE2hqsmHE/bPal6UResC3HaM6sNgapkuRNGXeyXPfSR7qN/Jasi2xIuK987uiQSjT8DR
uzXxwS3YmWYMF3VC5ZDo0bMTRs0R/Ej/CAISdYA+qeQEWe7eG2q6IhkwY2MFI8055I1KVglBasRr
5cUHfi04jwPwkpmR266pU77zvnO7C5wSfozwIG+DsCTWMu8SuiYZMJ1pXTCAvCIveuaRD+lkYq5I
OKomdd09xx0tjCDSCZkCjWUOT5MkXzdIoftiyyZG4aDZXnTfja78Bl/K4pHuh6xclV05A1ObC269
c9tsObcNAhsmqAzTa2W7C0G0DswWM8kBbnfhQ19Dn6zJOts0bmsGVQ3QXcsnpseT3FCQblM9PVNR
Ejr69oSaHhiP23LOZuKGqa8MhhzrkM4sWS7jPFWPQ0yUnh2144J9n/Uk5a7cR4RXb9soq45lHw13
dQiKMGtpDxIOOj77tZtliN/1+i1qchQvs5TW+5iXyNX6FbSU+VmG7rc+Dok9ZBpEcJyJoAwl6jnD
dPIccjJLFzVZiNke9JqcNyDjzImQmkZ/Mmx2o0ciVcmemUfLubJ619vNMdGuK6vJsnobteQHBoPf
mTULbUFYYeSgT5xZIJaDfW6LuJ7USD5DHQkUILEWLXvAjvN5dVP68fAQtmMdOENmDhuVUGUyYD70
ppAajVD4O1tUYx6BO0VBs4s+PWfvNGP6RXR3CTw6zd+geDdPZpzadOr6VPvW2Bqxh+Dc+beJhbxm
BdJNuJoWVIE0LdWVXg0+oiQDhByMEP8qTYrmVsdASPyZm2ZVMEyMiVz482mg8AsbSwq06dkjNugd
fRFPB8EqNfgZ3aIwjAtZvoJbU3e0hq0jsxHzKh8Nde9Z6LtXFvnSbHaRO7HPRhNdyVgjl9Isxy13
zyDXhHV0H3ZLtOq2nGP/ALzmPJUkKJW4+IaWMCuuVfTLRLU4r3SThNkst6NAUyJ6wszhLiZuFYSB
NPmZQxKmRURPoRmvPlmUewOp0WlAPogkyDuXYH0bUQ/ktHspDqzQQs48KYZgkzpOoQsks+4nxOUz
Y3gfD7adw6UaktdkGMQp8/TEWk5jTYxsUjBP6z2UXH1rSKJb4wJyMG3dB0WL6MDDai/ieNAALRK1
YVi43z0rRXXodMOKVbVYSoH0iqGHH9qBgSJRorWaovuErOmPyCf5OGikm76NSEKOgCHJDRdEH5OB
pBrjzeqYGY26jMhkSk3GRZwbmT1Xq9IcDwzGUyJq02TlWxIVeTIXVwzGEnI8cVQsfJWxsCCq2g2N
QmbAIvnqkz4VlF7nvMSEFL2NGfjmoPKm6DQxMnirzLJYzkTR3na0oZ7ov+i0gCPOf4I95KKvKgZe
OEuQT7rCbNF1eo5urpERFgv0u+SF81isRiI2ABYR9ulRFBTF7WShLgskn/vah2WzKG0afssO1Olh
ioosB+nfZg9K0sUZ6dLLJQGws1w0hZIfrlVRLBL/vqodkW+KxpojZLqFPESt312B2JA7lM3IQ50+
u2W9qI+RxcegMjJSShfQVjCaKO/nqb8zB21P15ATlZE9i4TVFjJldFuX8/1P7Y9/MFN/toQK+hjs
r9S+ugVeH+fSF6N85TiDyM5a4prJF3u/sHvGYS5a+8lKZ2aWKJZ//YpfrU0u2D3Ld4irwSwl3K/Y
Oc/iq2QqNqPSM5LrapjbC8b0xnIuDLGP5wwVVjHK5a9f9Ow1/dQ44WMCpBbYbvm+ja95imZslHMo
0hHyQoTXwh/aqyjEiQ+tS95Vc9OtOQS64FqG+tuPV/5PK+43rbgfPMSfvqS/teKOrwTwvH4M375V
P/fj/vq9fwEbDcxN3KQo1Sm4/H/144T5B/MWnc4aLbG/OnV/9eMM4w8I877vc0vDH//h+fvLpOf9
YeJtM/kbn5WYVt+/1Y/7m2EfJagw6BQbLpZA7KdfLOUOLRPZWIW9dId87+fkgQ9edozy5qVVHNTx
9y1Tl7IhAR8devR6cTc8sPvrx1L1T9aQPBOifMEiP21wF3Tbtm6vkqgQCz5FvCw7DatKRSpB42RP
RMNzqPDTp8Epl34/7S3fNYOio4phnrkgwvg3yVKfV4bzM4qWwDLAbsPPMHA8fu41JnomWxxCNpye
ZGk43ToNvxdNdaW74jeuw6+vZPNNOujfKQB9wwbN+/mVIvguogdDvlQGCc6o/qHGHXGLLI0q+s06
cDZofl4IbKj54Dxt18Jg6Zpnk/dPxkpEB0PORBAWrNu/i7AWC5EXj+1EBdP4xi4kdh2dOFkIeo2B
XCCHxL/LmkhunNyExtBu567a2LF45qfuiiI/aQ78eMdpniJtOJSugM27tJ3KXTpu+dYgWllUlkRv
XdTHyY7otDjxsA4tHRdZpwgjlGrR9um4snUSQ2Q4vbr9/FzX8YvFWRfVre785nL/AKZ/WgzBs/kY
8k3XRWzC4v/5GoSOkP1kaf6y9ED/Ertu5FSIlWyhHocbv3yqcvdV8/qFKTk6xiETxD7/yKBf/vS8
/8Pe8+OFPr8RakHME4KWO0bzrx7ziaZPlEeOXGUtqCGjrvHJaOLJi1SzZCj1nnXpweZcH2fZoenm
u9KZrvuQToyF35EmsXltdc1tMsbL0ak3diRe5yR6ySeA+Jnzp90aF/Q/M+S+ZsMRJeUSS+Ihy9U5
FrGEfL5qBeEuWtqOeE/1GZ8hRwahD3f0g29rzT2hP7tTHV0C393O45kZrD9ockRRb1uBZD9r5mTZ
G3Mg0MQtZhCb0nXvhqqxg19f1L99u+ctlREpxkMeJYeV7vP7dKIayVEM86WPs9vKS+r1kOdDUA8j
Oq7uoEJFhzcBi2S7LZK8Zn7p6/l2ypsVZKPfvJmve/2X9+J9qS50l/IFjV64DAsZjADHUt+gP0yb
yTM36rcv92NN+vmGOr8e8xsGOHxTwtS/3NkC5a5HBeEvrXbGqhxVZeC1zbLLB+4K+xZvKekuU14i
59EwRZ5Ne8ja8K7KFzFZFkfnUK0iWmUwo4qnkJBwpLnrPFF34LvTg4mWedGRw7kOnfiaY0xH84am
jzUfvVbZ28QN0Q4ZRU2fAeCWWRoE4XUHz/eTBR63fGXb9TGrNbhUnGCCCpnelsBB/EpOPcPe4jht
NuDOCPy8+vVd8XmJpbQ7XxiUDcShuQQCsO99XvYsPYO2yRcxzza832idVBdjQlh3/htuxD88JhSU
FpsiIjT236/Zb+eEDbMIeaatRBziPv1WOJS3tlfhQPEtnAZKPibjcEtE4g4A4A0aqufQywnjUOFL
E3qLwlEfEVipQk+3TWbetS0jqTLb/PqCfE2V4Ip8fp9UFj9vBFBKRWRWdYpM3D1OxrBWqSCsKcmf
QjboQOh9v5RVT8NDk1Bwx+LU4CxbeBVanDkvFogntQvGG9pqHGlMWUncnzi9EALFuGPrFF6IAsm1
9zMStIeOk/eiqtuLvhx6vHhozio0cQFcLptbjRd29R7hxjwxiccLEmjDhPatjnPOT223KezyERLj
aygrk+domF4mp3sgzc/lECT773nVAyqj5QP4r44OhVvO61T+m2nF50tmgOGlMGCbpoT/8jSnrU+5
YRX+MnLCixY/u0PGemwJUpjM9a+/HuPvN+yPmuOcbQlb2zG+7NNjgtRFWaW/7PF07LtufpzjyjpU
zRQ9yIHmc1bX4DCnk4q+RyIeFqWlwGLChMYMWDbLecIqYyVOc4Vy4jdv7vzan1cZwSiXp5aTDE/T
17IvS3ojdzy66kmekUuxFo52mOv731yBr5UKV9vjgGTim4ebCmzi8w3amGnUgdaPcPHhth7FuJ3A
PC/R2GzIiQTBq7obUMTVa1Y798kwXTsKRD5RBAthF92qnvMqqJu4YDwwXoE7kkfsj4T8Yg76TUHx
T+/U9Ww2RW4LE0no53fawp1GzA4X23NLVpU4X+PuCxx5BojRskQ8Lda6Hh48s/3N/vL1WCdIRkZG
BcsdOxMz+C81KmEa7VxGJfONSjwwwWaJYd5MToJVmDeYPDCk1L95SeOfXpMTM9mDyGdZ4L58Lz5t
OZvQM3/p1+EmN88yp7ga95UNuNOMKe3z7l2m/X0tbQxt7qs5m5KO9RtihmghtbK88MYC7a8FzUAs
4uTu1/fNjxP7p7uT1jD1HQWugAXAU/T52xi12ih1syVxxOuW8Nw2oRMCkudxwYSFjz2ds4PNTTSM
5vfEwS89uy94RMZ164bPTT2jZHJt9J7990TSDRt1BpxoIbU0vhrcdFPJga0KsaBfle8u++1KoDon
o8Tflfw1Q5Jhn+AKw7GtaE119Tp11Lcp1+86/FoG8EQ1Feu+SaEWMKTqrSb9zTckzrv8lysAb/58
2KfLAEnlSxVQxERQeehdl6oXd2buXM9euaWXDryxYjqXnScNOAtO1RhlCyPk/5SAVZspU6s2Ujdt
M9zY9IgXumZ6C/qYi9Fs2OAFDoJcfxI1vq3cV0OAueEYqRYo7MTiXcMXaQYk8+j4jyLCVRWH4avn
0OEhag1Yrf9smPHJwN6GHn3XYAfqk6lYDvj0mKfNH4jGK8QV9UXTxcueN2ro+WWWjccxSY4pjhjM
ZM5r35Lwa1lRkECobVv3VGrphpY+IBY/FUhk3XltF0y6RmLcSjz7TKJQNLY5yE8jHdcS57w1kurO
X+2RZr4PTXRZZk9i9gGifvv1zfi3+s+zKJd5NDna6Zb9dWXo4BUXzCWpx8wF+a+O2J4n58AkIH38
eKX/6TbL/yIgt0nLgzv3/69luuo+WEm+Nc30c//kr1/7S89k/kHignNWLjm0zn/EWvypZxLOH+zk
5zUTDARb7M+BF+4fAvLRmYnkkFFHHND/0zPpf5yBSJx+/sIfGf+OnunrvuGyRBFxqNPTx3LM7PPz
SuWAuNe7qiPIxnOewxG7PM6MIEIXvcjIwgjSuhvXkS+OVWG9/3Sl/uHo+bW8+PrSX6o//MlYCXVF
MJedMpuSeB0wLmyrNHwbavSiv3418/xJPq1I7OIGQZaEmHEsA6r2+ZMmUIE4bBW4VOEr76M6bBe4
5mmYe2a6nlT1RDxNsuGbJp0u67yVL3o89ZWO78Dtnoipw5gyRw9Jnl5NrTg5yQjgM3OCVsevVIdI
RXEkBXGZHAwL3Ouv3z0dt7+9fSo+eKp0ThyTG+rLBm82uRJuX9vgl1ENUxwlBPSggmI2YZ8HU7ND
DwpR5YzA6IpYiPiWPMVL/NUQE0yGHHpXP6Uz0o/E058JmTtKy96go3jDHO4EAKN3dL4Y8g38rJmD
pS08sLTRQHxfKTlNEdy5i2pTv9MKHYcDbLwtaLklxv9AzNeY61HDxqvekTe2k2yjaXhTrJZwTBH7
5ssx7FvyL9JrIdObKps4enxMoI3wlgQvY/xf7J1bb9xItqX/Sj/N07AQvJOYgwNM3jOVklIXS7Jf
CFmWeCeDlyAZ/PXzUeWurupBd50GDgYYoF8KVWUrZaeSsXfsvda3pnnvaw8rnl3613UbcgkzcQyH
gQJvlHgV91Sv2Lj4fWEy209Oa9p7+MLxo5eLu8oAwFKEfGe7GYozjGH9mpW9j58iQ7aR9GwasgL4
FegCf0WxajfoXdNb3RJb4hRjcxB+zprAZ5/tGlF4csBWnIOA0bsTZt1lhHRymMsO+gAAgG9Ac3zc
MWl9iym1Yr+3CPgQKn1D4wGaYEys79Il8kyqXpwG8wp38XgzihkXkQgQ8ENAAR3iWfMJazH6AY+s
s4EIW6Py5Y80zX6kce0dR5QMa8tqxh2ksDujk8BhdXKK8gLMRHJqnPBLPDB89PnRuJ1uD4unfC2z
CBVESQwt+4Tmmg32dlL1I5SY6k/AkhYH0B8eJ3Y16FA8UA4u+zT/74d4OCHNRvba3KoCgPsmdcGw
L9erZCESxHJPu2g/AmCeznOijG9J5C4SuaBBj5M2aAZ9+8tkDet50TyNSgXvUxXoBzsXxb5zow4H
TCfuE1x8z12jFNv5SHx8PlP/3eXqH6Yz/f8K7zM9y6RJ+MdF7eq1rQh1yl9/X9N+ftXPnUDwi7s0
/UQWkca9lKO/anSJdxJUO+GCMgII+rkt+OtOIPgF6S4bJwZLTOwphX+raSby3eXWwq84/Iv3L4U4
/V81jWBXPpAewgNeifXDH096D1WN9PsQU2fnHnSlb2mRP8yAjhdVDtKIu6HOPxqnb/+kxLCI+7uH
gvEko1zXJLkPcRoZwn/8zlii7dmbC7X1orB9j1g+MHt0OC5xY5sxpLYZHUXKRtBmb2vM96Bop+JI
vNxMBlonP5BWo0zDuYRhuoKP8gKGr77KaA/qVZNqp9wgjsFEITodXJyimRBy4ZLe2W5krVmD1PvZ
G/yTAZt0x9RMMsHRkMWAkAvyG9vbMYYxQ7rWG/KUaqMIOM5gUq17MhEBX1QQ8EoiH2Kx9QxLXPXJ
xIRyarN7ezI9dpLTYN+YtWFeitjMAReBtYYCko03dpA9Ih7l+0V66vaT7ZV38D9hjmRk5mTd9aII
Xk3hbM5rxM+YVdM85YtHnebrsgZZZXuG86XnmgwaT5kxAIgQ7UxVuiSAakhQXopqQloYhK1+sREV
WfyUIku+99xhYn5Enltc1HssT4piBMolgpf10ovYBm+M+gFqQm7XpHwawe1odP1HNFkhSTZ1iE4O
b3f4o5cjIjQ90pbHLUou8n87/tXiM7aJWB/cd3UTMZR0dA4g0IpBGJS5HveBCJIrFmjjFQbOigg6
3FO24Xo3U1o6t4Lg2GRr5dq9kJ7lr5lWiXPa0WgpOREQhUZJYSxOsLzMjd+fPFYhIXekqNrXjprO
Qxb0O5SOLGTaLNxlaT9fVdMgvzQgaBTG486IN0xw6icL6tmGO2dggCJgHbVXwRDWFzTCVNPEybmF
ExPbozuvAKI6HUnLhO8q58AwN5WwncT8VBYW4u9V5CM6X1va7BmlFoG+5ffBgiTc03x3Dd8V+OaG
imLfh5fEG+ESCkQELiQFj6k8FMmj6gbHWwXwMod9jIEY0Yiw7L2T+Ki+amTYT64efERBmfYIYByq
iJCPPgDughIqWyH00MeIjqeDsOvKa6WS/ltTWXyQ8ka8xKJO3qPel2+8M+l9l1fhLeOACoGDLnS1
TR2VvCCQXVTjKo13VlbBdmIuO1ww8PJdGAcAgI7yEFlI4TvfRhTwJ5yU3rSOnAHlWzoA5d7AldBb
K52sXdbRs1j1bN9XZoA7dDStnnjVshFogJZoA+bYqPCyeJRsR8zwG3yO5LlNefe2TtDW6IiL3NwE
Yew9oQ0hQUspc9piBJ5ey7rvvoxxiOrBIhvhtSFzYZFNGvkGFQ9WXK/IWrFuzMZ8N7rUfEh6WT4N
bhbdeZPtv1QA2IZVYhcLvmu0xWMcwdqA9TkgtVGMvB9qj76x02pRtjUxfqaI7GsYlWhQ7V2aBPR9
XlsY5MJMPuQttiLzNgHBvEdninkALYa5GhiSH7Q/QyVNANPft+PQLLlWAJNmTLYm7UnEKZIj1CHK
vhiNWy11V67NPMifMJuiLsG+nUECBsP5JgRxMxsPbfVhBlfTrcjh9TUnoeUfFWJ5/FSqRCMksyC7
GGWRXHBIAPNqGTfk8PnM8S6tA/uJHykpN9IrPSRV0ttGjtc+xMpm/ccQZOvabnm3JFpvZ0m26kp6
U/PCkBLlz8Qx9HVEd/yNw5yfaCArUBSdb1buGm+7Ea6bIQaFGE8SlzUyygkRrRgx1/XA846EDp0U
AiYWy0EWGmvEOxwLQxSxGSZifLgZkQg9FaLFO4CZgWY9GkKLiBVCeL6mfTew1lCuK7fCNFhew3bN
rjO4PBfDDeSXQE9uue4ixKrbaKycl7Gc5Y8mntsC2oniSE9FuPiiWVXMa1mQ1EqGHXPZoxkZmMS4
HuQ3yCpFcqlFTA+OBsU+1YMXJ/sOUER40sayadLK5Olq6zL1Nqh3jVc0h9CWdBy1HdKsKoJb2ElQ
I53v7BwbZeNmlDPJiJENHnTNB6cdNg1CRGRzyOFyJvJksjRRrfHPaZe1ORdZQJVTG6hz28HGC/pg
PoVMWQh+D6JrPkntNx/SyrWRt/6TytryNKBYu5ozwUEsaPsPC/SghXmhNKhPk0MvDtLxhnj6AHxO
zkk9g1TBBIkdFl6t6/ggSjzvYcqBTqY4eEpoTiIHFKT89kOrIblr0QnBzyWyYzuIcLwJkP/s+Ivi
dIvr8rmq4/YU50GdrjOfshMzAc4ZdJPTbUE/QxvbXfk8elsyAY3XmXQmNSZky6CI0KuZRup7HLnF
jROpDnvwGMH+zG2Uc2tLIj44REiLid+AJP4KOM1HIuj1uT7XnkY0CHIjeRY2BDA8fDBuEZhORIZI
FrMARRL9YoNXeuT4lRc4Wt4+FpP+WlOfzx4XH/So2CG+EosVMuDpcPoz/UXUSF6znwIuUib0mk4v
wFPPEO23Ubn9xcHMfhNNkXURfue+24RPrgMCz7+4PEhvBAJEzroXXrpbNkCWk2o0m3XPRrot+vbH
nA6xXLtN55P4ExouMr3Os+7AqamHujbVUQkrL87NMPhfXZUkHzOQ8IQckgZDklkAv1kpfJQEEmLx
Bk84T87QrFECBy/alN4r1SW9Q1CSoHKLZGlOK0u1sHPrXoLfRYOa+7dgDeqGWxQy/SN5hC6bPrtF
yoByezPZRcdDgPht6ozstbHC6KYe6uehxIqORn/aJJlZM6TudLKjMQBvAGXMH6504ixGJCivEDPc
wluXEdnS+H8MAsR5J6CXaPa10lhS0K3grbF6+6pKsI/BdYMYSY4eFI3GMDz0j+bXxouaL/lkO9+x
p4bFAe9jHW9Dq0vhg0CESzA8+/1H4BlZs2oUqoctCvngXtheHO0UoDC9CvI46jbJpDKeTlvhfx5H
u+VDM5TK3ArIrWwpiMisr9TgOM9j3/CJKskPoRFCLb1mx2qyzxNcWwMiCGFL9JP50eaYxzmnCyB4
bTVgZVHOdMv+urM2WNCHbQJyEydvwnjlnCOmOKVNanyP0lYFK0T8KELzNhBryWQCwcTiFCpwsXyL
YeR4a7vTGRAjm1MgRHLJxHY2zIcqkI5ziAcEhxSqefxCMoGgGBud3R11ZNshOKKIKHJsC4ve0Bb2
vQCaFOyK0RshJ5B5BFTArvCVe5b/o4zQbk5kBwdhXmzaRoZruze9nTs4yTNTdiAYxkzH1kaJucrL
rl4NQrewlyckFmEVQWPqTeNNm7H8itij6tEojg68mQznO4CioISwbOhVF6X2Ss2Sb4bj+FZl0Kig
ZSSb0h7EyoAmBCSuOsQhQIgVnDbnLgN0sEXTHOysri22i7KTkjtEFx25EPJ9haEiaEswM5b5zCfR
/hhREm/bIQXD3dZ+ePFVi5eILACDVyz8+xlAXL0VfZg8GNosry018v7xUDxNzshxVdjQQ/dBl+nn
yAm6x67tE7FJZxdbuvLizgQLI9VHSDf45mAk8dB4dgl0TxtgNCJ2M/iwg24gNNtIkkdH6poS21nO
9djZ6EAsgwTT2OJTiDJ6rEjmI2ntIzV8MsvmpnwYZw4V6JGRhChTaj9dRVWMDj3q+8kCJm1PAdGV
kz45fBBpemGocQ+g0oqcwPUVphA7oYxVTXFT0s1DtwI7Lcg5K9ptbEJykXlj3Nd6BnKIuRxbuT9j
TGxafztayMCZ+tjGym3UKFZF5RmnvIjw8k06RYHhJ7BJ6miY0fhGiH9XFEqs9DGUC2fDRIPohHj2
0FmnrKWB4jqat9Z36i9mX5Y7iZ3JA/ggxdW07Hy3fVeF3Tp2u+JZqyDsTqWhkvfcj1vSXJknmSuQ
wLSIuFPjnmGaVT8JZRePI27JH1YZ14dR60keVcozCi6da15styiLwXCLHddY93bUuTZXNqbEcGXF
wrwK44H2MMQLinqhYt4JwA7q8gotgMWQq66bu/YzMBcKcejiwiRL11MG1xyCbMXF8lPCdovP4F0m
cOLRRyW7Go3ivfoM6M0/w3pRg2F/GkoDz4vrEerrtaN7Q1YoLWSCRDY4pWUgTlFb8YGLePKPxNm0
l84mWRXkiwMVzMFktRomme1TyxFY02IYFEad/fD8ToCf9lPziluye+dl1ZUZzGI1NvWxtKz5Zkry
L8mMtafn8oUNbdxXnQPWpTb6jWXG1mq0vNuOB+A2NdD6aq9Hfl44gnsD7UdbD12y0n6fEx0+c7GY
02xDipgiGhcETG636b5qzOpudPryUuq23vQmXeMCjmgjvo12inNdmekWHnG2Aq1EczFl3i3r+G5X
1cVBUdjWGf0lptLxUnmteBIVjk4O2CzcYOZ4BhUBTzi1vHu8AcySZaZ3bjXdIuEnOs5ylXeonSk8
Rn5EpOsIHWbghMIeEEZNemWa8FrrNg3mrWiL6iYJ6vA0D+3oQDAI4VNzeL8Hnb9vAtF9SJ3kl3gA
ttoPVfi1Bgx78hPLfrHYkv0IKKBo8yWXs6LmtzhKMIdLo8Td8oq5cZmXJeZ6suVEx5t08rFse3Gw
sFQg+g+1+UgAknEFNVmtBkhUBx+g+xfpN/m3SIkZHKnQxseg/Kr7Zudcg2gAUuhdVYSxY99m+Rhw
ksJD7lMnFsdUyeIHFHXwbmZCZwmOlwKWTRiHGfnqfNwVA91kngXhHatuEtvMoFE75Y7YYRMhMZ5h
VoSx4AKjcjb5UjNlQBjkypYBB1UAgyTf0CN1J/l57PT80b72njMPmwnmAwPkyeBDARh3Jgmw5Jqw
qzO7mtZWTaL1WvoKpJRdmWCB/NF8ly7peRsHFpLeBIxYj+EQTuGhbKCXrO0qoYke7cJ7D2K72KRM
cq66sRtvNHA1H7tSQmOqzMx7a0unJ3w3btI7xgL1oVe2fe/0pIVt40BwJEaBNwLFm2O0irKriW0s
fe3uU6R/5CkW1QBGZbDEWbVSHop+oHvqgwTPV21M/Vuv56D/VZ7z7/non6mmF1XBP52PvrevS2Da
3wAG5q9f8nM46v8CCwVpiikCUBj+71JNlqx6VlCo/T/3fb/L4TUtBNPcXjCj2QG6/EVG8TfBNANV
hqMIUMBSoBj9VxZ+7H7/bkiJxQDFqSssJrHM+ry/27uxGzJGjF/51gbW5kU1PRlupyJdQ4JU5ypj
fhWBxcZ0M9cH8jT6Y42/r1gHZSivk9zon52RTpIFUZK9eJLCwAe9qo9FZAJLD4OcdE2QKxVGsyG4
FQlCgOPgeWN6bt2mfnPmRQFZMd87KeExXlB1qgYCSCPoHs6MvWXbcxJWS7xpNhG2LTxMcQCkK4wS
5SYYAg+MjY0NCIQg0QYrDfmHHQLTtS/w/bN8W3FZOGPmj67mrmnVKUiE99zMo/Uc+Vbw2CXGeFvP
PdKYYRnxeZWIWdQEHgEHedIFuI1VeLJMghs6EouB4BoCCtqAYXM4WXSQYktgWYs5BE/YA6HGyt3l
JIsXm0bPDTje2GREC6/PrzZOnkzRbeIDvN26ULzRrEEDxlPbjMV46w1goSCpOH1HK+q0xVrWuUMS
cmZOA/fJmLFPmpXyA+FofbbQosNCSHWLf5xw3gOx6+QEILKmt3bGTNN6WTBsotxKkx3dVtGDjUAc
uRlDfOkrb5T5W27UszxqUxWLegnU/tqJveBF0HPe5iy/DvxknEeuEsNBR5EGW6zDC0KUqiciJWun
bdeJ+otl4zVazVk5EaIat/lJtpOIuYG105OQuY+VXnhvHGs2xk1PuWAR1MRbE8QBmlAwu8VWuZ31
jPFcPdMYODDPC6cjQlYg6MRe7TdXWamqBwd4J7EiQQPjTNKhj0dn6hO9jsqYi9vnwel+HqJqOU+z
5WRFfJveYbLnuB2Wk5fKwiHcYN9jnRta4022nNLhcl7HyvTenc9DPJpdOiRmNBzu4M/DowMmAUHJ
5/GvlkrgLDWh+SwPJXAQ4H9zWE4wrZcSMn6WE/1ZWvRnmVGfJQd6sf+1+SxEXOS6UxfMU85sailV
uH0oW0K26sP7LGZUpAp+72eRK2WOStFaal/0WQaFXUV3ZBOSdvtZJhm58QwSE0n5ZMdBKY0tqmoD
zPeH+iy1DLEEwTiuajdMEJmJrEYnCfIVT3T5EIYp4BxuHzlIJogRXHVoD7MnOYc3ha+mbaXa0SdU
wiN7UFiMDZTvHQrtj9lBdCJ7qqxR7Fmnz1sfvOEZtETBlZnC30wWERVpPvrj4hPrzTuzTeundrSx
THT2gTygUa1Du5fZyQlLMNxJtu2LTg/7LGJmccTS662gDbjXQgUw6fqgEiPfAHM8umWQcd/trpzP
1mAOIQt6PicQ36JcP7lOAJCl0XoQ8coGOgskQImi5do3ZMwfyyxPv0cGkJFRVd73nNUvFuS4b5Ij
rMFqvk3zwtRrk0dG7UJXerg1g3ji2heGvR0cvRCJ0K0NKWy+Ngwje+oRAjBztnucGWrirpChuLOU
f8DszDG/irqEaXyc+/UOP13zWk/yqiJgZcs9YjMxs1gxFLe5OCsEg67L33b1P/+myMiJUbh01tDv
TSnzX/WT/y7uf1bcBbJBxC7/rL5fv8cJBV7/scT/9oW/VvmQgk0NtSmliz3qE0b0E1MUAhxyPQ8l
AVvsX3/l5wrU8n7BmrOId32q1FLmf6vylvsLFZn9KItLRJzYGf+lKv9phfid3IUeQziL1oXQE0yF
MGD+uIpUxDEFLkuJQxu20Mishpwg3KYzlxkzTOHe50Vx6j2geUfwPerBMXVAhvhoZjN6n8j+0uDj
P+KG9/KNXPLIoL2gi1i7I97kPeR8+0vY+fY1OYzitjQMBom2W3mw5yZkGzAsnIyTtK7JhBA6aORZ
wJk5shEgYsuNE+I3oj5+7FBdiNVgUKpYiODLNFVzFShfvUiHLGQMHyFMIYJIWXfdC6aEm8EWN1rD
vA1zyT04Z1Dx1hSNHNcZxwKqfyeOzyLr2G61TJbOLlcaptZOstAvi2DvzEV5YKQCO8BKrUPkBhNa
6tk+6FSnB8tpwnVl6AliZqG9uzGxw0duX8Eeg+h4TTJKuM6Yia3s0Ba4vdH30ixUuHS8tTVAzngC
Ukp0VcSjThcEq9rkzsQNCF79oiMnOvFsWVEan8ZqHO7Qq3gaMUntxGdiYbIRi9ow2KhwlolzCIAN
qaYZsTOLoQUDxAM2QatkkrpGWExomHczQjF928aBV92ZjjCYh4gmag+Q4NroSBa4OTOB7ck4wNAf
2puaM3bYKuW5884ekuKFSKwG5CqXPmtnzjS0qyKxuAhZBKMAzZ+7gQrkdcPe7wUhELWM4dLJMsRc
q8wnNxqR08BIjLlFdR9hOMFAJMTGqgLrDIGCaYCNt9dgzPbiey2BxyK6jBO1yGtG0hb6qQyv7Xbc
lJqqbaa52HmiKOERRdm0alyBAd6puh92OQBxYPSU7lOwC+amqAUERE8Gjy68HSZjPvNzhm998FCY
hj6Tp4GuZkrdBWGG1TfXzUbZMFcJhkn2QLDrE/1ZuYHFEdNTBSfV6nCrWVA/RlVq7oamdk8eDmya
MQOgrCluY+bwWOW7B01+FYBMr7s1YjPaMbpkPNrbykFN1DJoJhMU11hT8v9J9xiLs0vbueG1WuLX
i/LcNrCDgUI76SOfVnVVC9tE6WrVGudxmGZHEo5GuaojBd/B9IikjdUxHsb8Ngyi4WvPzzZiL0qx
ZA43adY4I9us1WyMoD1bwoTL0n8ilaC8a3S9r8clgCFctrvZkP4ga37ctoEvH0oS5fZ+ojLe90zv
PehUX/2wd46FMSvMVPq9VsQZrYjRKLdwLsitNrJsB67VyF+kMXoPI+FXOaP83P8mdW/SnII7PI6Q
83fTNKF8tqS9SAnU1h1oZJjRNfs59Md1O7nFujTtfFfgMlg7bVwcQDOf4Fp4nDDldI24WL0wjyT1
rIuLC9W/OS3cgVOjk/A2tpvo1UGY1a8/D/p/l8U/K4suB9Y/q4mn17JUf/kfr6X8X3+5emUcnLZ/
uAD/+vU/L8CIV4NFakzwu+O40CF/UwfZXI0FfZhPeXKxQFKVfpZG2/3FZICGZYxxU2ghLPqtNNoo
aH1ES0wwkct6EDP/ldLoeIs74G+lEYAC+Dtf+O7fXXwrS8WmUvjsy6hlWG9Eo8l5RG4HSVvDjYRU
XW/DiAEc2+gRu6hiILQVNG5XehqiYx3HzU4nvnvjLeZ4VCw+EH41HSDXligwIxKyJCdCzbTKHDZR
B+l9jOxu1dS9ZrDp2yBfQKNPYcFzx0x+2zUiOXC5bm5NTttncNktaTl1si/NsYeWht0NHGd4rGYe
Azutyi0og/ZUpgPgJ6r4axC2HuFjzHQ3USbDYdPVtrsJMkfu8zLHA6KZfNdyBLgyxnb2UDdVj/QI
vuF5JlwGeHA99e+xv8QpuHBVHvvKqO/JWEz1VQN49Eq3nOMSackuAquwZyf2w8kg9+EHYf5PUgpa
Dei64zqypLOvEy96K9ycSE8oUlfNIqafumr+auRDtp3mnu4/yt1T7if6UeXwAq46cr7sdVgweyCL
69dZeeleVy3aUGKj1IoDNLpyEep+Jw9vWEH1NjaEKzF/BVaOk02073VW5c8+FOHnOA3VQTjSekFn
OjGAc5OKSbWt93MRqn6NQ7R9Y8AXnWwOVmsPqy8XhBt07nE0kKmsyC0wHg2jhFY+O37E16ki/NDm
PB+KaWbhlhZGe8U0X74aMkXgajlcQoyy7+npC7FhkcSrpDKRxCXYbb/t2sk4VAv1ioE2gAXq/QZu
lNjYnkWpiFNl3aNJKbni81PYWK0tn/LUmcBYEC0bf+nskQ1VOViYE2cPeQKEEnBLzNiD+Lak1zyG
ZZNcXDjsa1MynODHXY8EqUGw0wQpJfoSxTgiu5Yq4PCS1qXlj/iqsomVocsKdVPpxgVZbsCarIyx
3kWzjxSl4rscE8fQwFjM6ENLjz9TVxIYuh3MZFE88FFJUCc01r3vddFrKNCTrdzI4B+TaW3nMnWZ
u4c69HY24/YzKbTdRvh1e1eTMoffIiS5accyLUPoOqf3qVPEHy5RU7joSHbThDewWCYsvVpxh+vV
Ck5FRyIi4xl1yAJD/IhcQ7/OyUz+Fd/WJaLFtD9Y6Ac80rFbN5sB2S5LHzsgvdBOSbxdYdLrh+ty
qNibFDkXcaY9Vk12zuA6h9AtweBaBor5S5LOMt0w0YgrEkzgIjFCYH29ZXPiPrDNZ0JvS2ORy6EC
JuTKbIJiZU1KvMO7rY+w0U3IM+UMphgkp1/h9Yjck6n9GLFLEYb3xTS9WWJwGMbU7pvD9uWAUau/
n9iTnCcVM8U2GweVH5GyazOQ09PENuYVF0F6LL02P0pNAmxrKfYWhdcvCqjQeihkt6Rjz8z/1+VI
i8ibWfRXdPWQNlzdpsNKe6GSjLDIlCMhNX5AlgJSfZDhO1w9eMJTb/RPIcjN7ylxVWgZsmHnNcyC
oE6OF/DygM+1W16yECoiWjmDASK3B+ebAa8EYLRvl7Qgs6jPUKm5QpP89Y0XKQ9ZIsSly0yHhUD4
La+QJxWV9M7zQORuoFp3mw6wG3ptu99AUvlo0BW4er9DD7XuoSNvJQjydZrIfGBfjTBwPViueywD
urnSRmy1Cfzlp9b7VnTOssWu56UBAZKlkNtJBtGZ6M4CrqIh4NqxMezklndHvLoSPbW3IPlE14X3
JJbfETo3rmOuRwz+kI66RoDWZ3KVfERxGF6VspjWseOkb7WVOCflznormDbsbe4txyFj8OV2abBm
hpofrNRwN4WbIEhqADHyqLfbejnTK537m6YnztaLJ+drESMzIynOaffuyKYjB2p3Y3DuXZeMlEkU
MdpN4kbDhnjA7t7lnL+QlBIhYwBECH4rJ/F1TJyLp5z8ESxe8m76VcguLM3p+QMrBOw8Mb8JRXpA
GMZazYmNkwxJ8nFgxdfrYiIUcyPHMruO3XLMt6Y9zt/xlXWHLC/Te659AIKm/i6c67DYcFqSvEtw
k/WVuh2SwpUDyHBdLk6zQNQ1dPHYrOk9yxPebF3dOoCtnrKpTj6Y08b3CtfioyW5ivJ0jOH3eARg
anStc8OSr33FM+89K+xzQI1Y8YZcoQ6O08+AcSvT2FULZQKl3ujfERvvn4t29jawGsfz0BrOjdck
iNmczIxI5SVXdEYIdQwtgKgxQEIAsgPQeHB9PcDQrLh3/a7csm1BHzDLpH1H4ZwmN5Y/zGAYbJNs
DFQzgFXzmlQk+ObnJM1Qjurl7oEP+zwH5fDV6uJshxEISadXuvshLFE+xgj2EWxFEa2yCaa1yW15
g23YlxyBjfVu4y1hxcfxm3caZLhYjBeNCrq3CNMceonK2hEMapzmYFbvZcCRXJPr9NBy7ULV5IDo
sv04wNIS569WGiKWqkIrvo1zOHHoG9t017guXD1kT0eFHplqwJrriqGmeTWUYtwwHlZ7iX16T7wM
J53B1xwhX+ZnJK/TJQsSb9/PIjt1XtDwbvbNF1RpuDwpJ9xedXQAk97dj24774wg8h+7LBwuyTDa
h7nU1OuqT68C8ncTYVbHbjAcmoGOCbKfef4Z5UP8/f9tG7/cF95qyXGI8rb7z//4eX9Y+Dl/+A9S
fInOvVPvrb5/Z3zQ/+d//AqzWH7nf/UXf+6R/qxDh7QD44aG+R8L9/93q6rXN2ZXf7m0rz/eu+QP
LfpvL/BzgOX/sliJQiDbFmMn2vS/dukhanxWYCHdOK7n4HdbKitEwo/fOsSChMzft/AR/NxSMdri
Tobgn5eDFIQj5F9p0j/vCL9r0pf7A0MyF6eWjVXLhVHyx/kV2dhSp1YyHNs0jTPSiLr8FnmaInYq
UrAkuV8W2aGkgBBJJaHjrsirVM0GqLJ1hGiYbTEQt0eSTFzv2hQ57eqA0YjkPLtLv2JkDxskk7CY
t5Dx4hMA6HAHedsS23YUdnxTs2xKDwhA5FevEIiBazMFUIP0NF5WPARpbi3+Bk/dGDs7k10xzlQ5
bCGBWoQ4Bs53OescskHj0HwbYCWLDay7ADUogDFW2zi0DhMw4nltoUS1Ds2ETbgtZ6Y/xlANwcW2
GvKlHClLHmLXjK8rrlx3JAXQxeTN4AOIy0bprhujIYLVxhb7kaSiJnU0DkLyNIhMvK+SCN1EyLbk
pXEKS+0D8rfe0Nr3F5lBouimslLrIJNgaFHMDa8E8kxHbB2wIErppV8dw+sOLTKiEka+EHekZbZU
dMs7miaSdbhLi8ybeDZvZRNi/ogYS7+YcDf7FekJEbRoUTNVC3yVUQrb3AOvmJXuVi6jQ4trzvU4
zcaVXYIca2YnnW/slJnHg9XWtskATzfxzgnZ+j8P4AWPukk6c1uEgAkQAcdWA8LWJCB+VcRYu49N
17niNljeF2K8ZhtuCIKpZFn5QXNd9W2brSJPyhers/MtG4flzUqOqk/oLyo5bnkZ5wqnZHNgi1nq
W5PNIpNAWD3mLbckRBqG3zNpHLMGrN/iCCR5kfg38ZHpBphhnltrXATcFQ1iEwyJK7BtTEjbqqNX
0dF8Q4o41HSbxY+enX6X5iZtRexi3UdHNjobO1T+A1soKLeGiapl8aMZBY2Jk0UPHXKzG4IJn5mr
ZOvcq84tnw80b+4Ps2RYSyzYOMXVnqQsYhy7kAShilQte+6ra3wA1QlziHMP+c04etOQU8co30Ac
gn3plKCZ64UO3JwTwuS54TkkskfBtWOK7hriPVqmAV5ekYw+P1Un+eFAd90HyOyfU+RyN4Oduwc1
WIjDwlqvjDAh0JAO4DYPpL+1C1Xf+wTP3LQVHg8ndxH/cwHEcchI8EtcTA/ko7HMhYR51Ap/e+P7
7Ul6CSLeELqAP6HqcursO5mnNhA+k6y1BY0MQSTaeVHhbJ1qZKpGCsBqiMJ1avbqmm3Y3KzY2EIY
h9bxWCTyMsh2P9BQsPWGirJus6S/jZKiW9PC9ZAPU5uoC661rrUf0BgSbUzWDOkcwjceqkq+K5Ve
8tHsueqwQy96nBJV1vm3PXqrlzgwQLjyKysCYasXh7hVDiP70Rn4/BNBv3LL6EdhJntTVeHFIA/4
vc1SPum1vJJkya3MERgq2m6Y6+TT+1V/pYBhrpvR4Ccv4bKisp4NksMZ9BaK9jtyoQvYxXK/6f0d
sLAOrSAZZxUU6HUJUnM9+mjwCu3OL/+HujPprRw50/Vfueg9CySDwWHRvTjzoCMdjSlpQ6SUmZyD
M4Pkr++HKl+7XLB927u+QMFAAc6soyMy4vve0eBz78jXQd1P+vUeD6m++HFmm2Tiagoty0eXrp1T
Dm+wDsx82NkaVZ3vjM4WV6m6b2gZ2RIIHyGkL+Zbqvt6B0hzlAdWRLHKBmLlwTmhS9aOgylwImdn
gLOzp5ckhY+dqEC7DQDut27mZVvmTvnZ1c2vqhZiA9lXn0Y3FLuYMqRtZznJGt6huAJwI2PuWvs0
5iL7KCuldqYkUBhBnVRXRDQ0yQ2mf+BJ4CTsCAPeyqn2v2mmoB/sCtTv/OFWvf4OFf0flGtLw0/X
/ud/uIsa4+9vJ2margO94pk29MpiZftjck1ZNnXMOhMffbsdug2hZIWLwqmc7lpViGddUnKDioes
EC1IAVmpZlBPlCtN2ybOrR99VAfpzVQygW2zTs4Hg35pc9Usv/116dPUutKm9qp17BHkv7X7hAZp
RZ7CUfaFr+9GgGYModmsSRYV2cOEmpjWmCxwB3muktm/zHOfXWMfeYRTV+HSPSBEh1+gaz+oCDZc
iEr32zJvrjEuTGBCniEho2v+duw/rr4ElGYfCTid8BEh0JsjY9xROWmvZmKkD3L0ghORC6RV2j3G
iJzINlgj9sYUebSrDaqcenr46B9GTtIxh4CpyXTnjdxbnV/6q9KZq7Wrg3k6+C47JBmmlh7yvWfh
9aLa1xwOjcmaeePR3LgF50JX1g/GT9/zplOLHPWYR+XSRQfp8ZDBBFCb2Mm7YmoFMsSYnE49bWeS
LXbU80oyGeZ+KR+yyruCYg7WTYxgsnPlN2VUSCiFj5sCGmmHcAXTkTl12wrpyk4QGxFLX61b+a7S
6Uyv7/eys/Z9XBEU1ZrObUXt39DQvAqoVlqxBZA2N2BwafsQmxnl5yVfHPPGWqG841xBVnxQZp98
t2q5hJ4zjqP2PnWGerB1n9zGyONXAWqB65DEBw8X95FrJVtD4uQvDdW64aqVoj7OXo+QZKraYVvR
c7oKika9UrAHxmJXH6OO5bppnGAl50AdLJ7Nu9qrrcckkp8e2sOHMubNE1hvb1sgjIjBPSZN3J9l
OB99ouWjkxqiQP3IJ6d6zR23pKAkQ7+0D6jgvK3marA5lKUcvwXzaC311Wb1faIX+I1cVWd+BAmi
I3tCKThh5oVbsEQU3/pVJwguh37XaejRFDL0YhtJYXwMcYYAqHAHvVZWJ/csJckG0TkReEXqPgph
dJ8it4MV8vni0VZjH2+9KJv3Mgchy+teYhKOm0tPM8lAIr2K3mXhRw+m0zkXouWZCGrNPU9R7caF
Gdq6ruE/1Rk7pJMIMmI8DiWukzGyDhp84JSwc5E+blixSc+YkT2QKKz12ieklXaFJsNQkeVFl9Ke
lOp2y2FXEbQCYrCJOLEqTC9zX2PimaLboosCvk475doHwtiCndW02KbFN64W5yfyq/7A6NURWCYI
DxJVzcKapTQCYP5Qh2piRzqNPlG/W91b6sWVaXbJpkzclk4xPERpELz2rbCe0BYaO2pQogca0Rl5
BD6rRz4GcMBMDSGlIFxN+JHMk+vr4RzXjizXEinpTZzlg8JfVctFE9Zu7cZ+myqVnJD9o2swpyx9
y7vEe51C/WuoerQlljUMB8tUO3tKuLq0TGkMzabxvRETAmjSJGpIV+UX31szHh5pW3Few9EjLZM+
QTxMUWujeEhYsQ+kCIn3GdXQhkvJeHO7JH1IrDD4XrX1+GQ5o7pJ0bJh4sAEyFxCPR7F4uYApmku
XfR03hEfi/n2E91NeqiMvqu3AsR23Mo+67lXyyTSa8RD07vpNwaG/AqplApTnAb4nLKz4aT1BQuG
3pizPfwwi4Z0d7Nr/W+WMhs0SIFtiDNgN0LuxDaJme41xtS8GpMF9m8aF+TLtN/8pikepfazow5B
tlF8RtQ39A5ZQE6ogrUMmMRWIHPtiUOv7eERyJnZlGFNtaoctY3uFIHPAS1//DGlJUnwRZgPlyqd
qfQhZJka0sxr57PPjG2SkhDBTnC87ITuvB+ssxZAq9uf4tRusj2djPNL18R2tbUg6BBHjcYzBZPx
le5K/6Mcre5xsFihxuWRZHnKyLxpkJhrbLlpwitf84xQ+KkWmK6y6Byylsb5sdCQt11ESh8FTtG1
k8H81JkJrr905LD3zJhenJGuw19d71BY2RaYXlaIx+TtHCRY8UQuhks9q/5tjoUAY2qndscjX/+c
Ohp2KSgBL6FCJHpVYxIFRKl5EdZAx/llJ0ssXBHl9bboEpLI68TDAmwM2UCsfFa/WAVoJ2F/Y0GZ
O516Ky5RvQ0yf0Iza7QIsIiz7s5A4sFd6ofBA9+PwrBnMXW6bfOGuNdCniCU2jQML9V6TOrqjeLt
jkQlv0OyiApJbq1Ij0esxXovCk6ATSolNC78Dc9jWo3lneNUyR2dbhEuIIGuUDuRODQqoSqAQEYU
FSLNOnzbieOVYHhd8JJDPZPaVXrPlmFNH+wxlAamY+I4q1oRkMGjkDS3zTROhPJ3wXidGv2KzvNx
MLr6iTL6Gr3dqMq7funKvRJpGh+G2Zbf3dlYOhSmvLtN4IyPNc3x22q029e+Fu2vMTJ9uHBd+o+l
ORaP2NSjl0nn3ETZ4MVIsoqYrAYPp3OkLJXtGISNS1QiZtn11F4e4yiFEUhE/NyQSnGalOiaU0bf
XLoPemNg1caTcAsW2dx5PtrGPK7nBzcpxhWBJ+2RZBP/zbPM8bFh3Bo3Fn2oR1YlN9pZGLiOoMRF
s+vqqdjMPU8nhMFUenc1vay8QAAf69kfpr1Za/Gddonm2NdmeWuStYSE3ZuojGwcHbBPVkxgcdug
2g5qY7wajaaKNpf6EydJ9yOqcsRemHqKZoMmdZlYOSe+s86ixmSFx3wuXVgFZdgAEFJ7jEXp9BLB
sFvUPy8e1wCpP7s0CV3tBh8j4y/NHASbR1hONhALNR0mfffkyDy1Nk4IbLYyc6GifUTc4Ap8sL74
1Lbs89rFaISZ67XCl5OhsClcnuFmOTexoUwCio3zqO5GPAxV1jAFDGzCyX6snYn5wiuX4HCmIlqj
7HILOI42wMyDmUaGLvqcm1mcWx/2a+vXeFmYHqKMSC1qY85tmtfmSuhwmk4Llx8dfcS6UD1OOb1X
AWOb2afF81gH9U+JvP9oGoH6JmUWvwRq6GmqsJFtaNOwjqXldHsXqvBIeZePoUj1vzJLT2zEgp4Q
XHcKGL1u/YFgrLDddaM09lxJ9KEvrpfBZBmDOGXNjwBTVkXkwZTAoPQrN6jk00zZ79LUk66iwD15
0KK7Kc/FVrXB/DjQ3Hubg85sbCNDlxzSJL1OxrR8aN0g/EQGa+Nea+rHHAsld3bbIuIjUYd9sRPJ
wwwotWtpXPrmBPgj4YrGp7Ly1JHVsSWehu5sQgq0vwlUFV7a3JQnPHfV09Qx+jdGPh0iDz8mfcHq
V+l7is71Rj7x2DMJp87JSlpxHK2wo1V2cM4FCtCzN1vjgQgJPJPRouLohNrbWY0pWT4ykzf32hvR
xUaRcxP3ojxkbuK+mfzmPkIBFs0OJHdD4jSwkFZ2U+GjvrbetAamomKAOm2sCjY4A2UX0S/fiZ/D
0cgPDh7kosnFntkO8xR75hb+pbnpqu4tGDCS4YPS+wCd6TamA4p8QQgFTHHfAg6si4orfYTo+CTw
I1zQClTlTVqhhpHMA3Z/smMSadyoy8+hn9qbTsVUsVlj/p4KreBY4WECwYrA7dAeED93hw7iZmN0
OD/4edod6lJUSwGRyFye/3qNs/6khPcXJYJYVPAICyzLcpct7w9B1AbHr9IcJEd7SGzGzmVKg0uK
qNtUjl6TLMGbS0aktap6Ue3I5fCOuhDh+P/6IOJPWVh8Es+1HAoMcbKimPD/FOvZ9GE9FpaHQI7O
p3Rou484gHq5rwYnaO98H+3xleIUT2zzudDEKtKpjOM97aztNPB+x87wgs1RgpNNeMKJyyXXgzop
SdMxUi/P2ZCSKr/VnZ1fA/oELrh+8lfksjOwxALIwRVaH54aFVo2tsZvwB+IeLpOPNqDNj6bOGTw
7qmIIeO/R6FeR8lrl5CqwBHnXCCUAAX8wfzmNxEPShKP93XpEm4LErvIqkxCpAli2oipFAwSIrrT
JRVrHTa0B88rpjMd4+LS5xHXoZL5Toz5qy1K855W3RNEBTXDC2jpLfBl9YVkDmPHCWlQdBHj+2vk
Q/UFe0ZfEKgnbfNX9QWMoujzfqDG9K+jzJqHOZqtb64wsVPX2cICQsMiUkDBa5Ot4ieHpM/H54B2
iWRNpwjTvfU16RNuwtRPgDgbAIm606dUDWenicMh/doTLFpGDuHIjda1dWBDySzrBGiS+50IEFgx
6giPRmg/R3Lqj9VI55MR8sVn8ySprApKb2UsOwtRG6wv/rLJFMtO4y7bjb/sOWGM9H2LgJzOcFT5
qxSRyKdYdiN/2ZLimIbTpoJ2smu6+NIFEV1zmhgfFKKyZI3LvkWqhfsRLDuYvWxjkwG8jQiFFQ0s
h3UNLtCeH13ZZm/Szqvv0psJWFZTJ8ZvuVvzJUnaD2+7mf1yrx0XLBwgvXptwspVP4zYhaSNZR/9
Qg5X1td//b7aX6D/35Q7kALIdmAlbGnDT5Be9WdR69K0K2Kuk4RZ61IZY3RT6qTG6S2yI3EH/rH2
mwI1Sl+G27Ehoisvw5t4LJOSoh89ntwuqkHTZkJTQABoDFao9B7YeqgyccBJX5tiqAYoO1E/Opqw
qsqmsyWaEr11vfGuyMM7jBuoEEgMGG4ssk87CIUx/KQPUOzcpHKPLq3c9zYGYCB9ZJfCtR5Jj7lT
dngNcnz6URj1IMDhzjKjR95xcWsW84XFLMCT75j0FyamhFSUc8+VXfvuIU5qifLFZUDl7jAPQ+Xl
V7SJ5lWU1uBsS0dGT5ZHTFqEzn0bjT0y0FIsMcesbe0th0t99Zt2pMacrpuNBFvWRCOIYNjKMc9O
MzEm9bq3GqK1C4rQf5BwQCxf5vcMkgh7bYT7L3NEM3wp0mHtSPz3AXW8GFtzL3yLYRXeRjkh7YXs
J/+4y+I9qa8GElYykOAs0m5HvMdSqy155RxXu/x8DYLkCU0i5u0g4PrqzXDPJqxIkm+DCekImXd0
yfR0RrlmE95jzog/CssJ950XJdswVMbDCDICUpD4ZOTL4ZSn/mJITKxboMWZp5KhM08RpWYoHd4D
lROIAoKztgxfPWRJ6iOUkVX9bE4hb0CEZH/QHZgZTE68c6mzWnuzHHaTV3dvg20lT+RQ2y91WqhD
aM5mvC6HmqOJ4s/7ue2iDS4/cZacUouFpduWcA2kj8fe1Yut9FmZLcWJWQwJjbondE4J6vGcJcYN
b5ZMBjLTYpP3GgPzTVWUeDR0tcOYzGz5dRPNcevcuzh5L5ranQJ4x+zDFebFzr8qGu0EFaSQSNYX
n2R1Y0/Y0hfPBLeu7xtQ3XkdVQsTFbY5rBSEOm4pV9kf1hdrFcBf2V9MViuk2PW29l7yL6ZL2Qi8
V2Wi2T4TTm+14XSr3iLQveQgSKiLEIdUlkkJeD3+oGR2pAprxL3CIADblpZYPmjLHPlfNgPhXug9
bI5NPqdbraV1rO26Y66uqfla9WgL+lUXpFmKysdF6TwBYMhNg+3zLHrBPFF/YbrjAu9m0nrFSCN9
YqueMGERYbC8IHYKM+QlJ4rT6dUaAm9XWWW/fOp2JyFazyMikm1rlPJQZVOLE+CvrOs/wIf/XmC4
HFNYckjNdvCmCUs46B//OFeYIPMZkKh3DCJJ6epdnTU31XD/9R/5t6Sq/7Nsuqey4J8vEvuvpPbv
NPZf//V/CcdNBCmTz1+/6oVF/ws7fvu9oHT6kBT/nN/+/Q//RYIaUE3j07xAnI7j/+7B+FvoauD4
sFbQpUvRDTrT/ytBFb8hF7JIZHU93yZdmintL+y2MH8TrJt+wHGNWvvf9WD+ed5zTA99psX8id8D
7htF6989IbaXz5UmC2dPQRgt2147MeYvrA8Lav3pdAIhqBkHL7qWBHAabKkF2pkN7qvwaLu1/cNs
ZnXIBiI6CKe/68G09w7TynveZN6unF2Wm7HL6s+6M6tV0NZADhog0mALevA5DHdljyttZSVEuJB/
sZTftN5DZVCMQvRT5XyGOU5F0s7ceDcYxW4K+kuSOsRW0yG46eEpjvUcHenndVYTCNkOQv0OVLs+
VEHUv7oQHD8yw+VMiuMp3DdG2O9wVQt/nZPF+SNKnPC9l2F/YpliqHBHEtXbMj4gTJj2k20S+TnW
/Say80swJf4d6VYaSWBa4nqkZ7YmzGqla8dkXmvnq3azeBukI+KdQrjTPsxVil4S6/TzMJflz6RO
3EtnGuJU+/3T3JrBNyo04dg9pPgrWw4J32oJheUnJRH25NrAe4VxO81fN9SearJx3ZV29tr2k3kS
/tidVGZ/NmExXMIsSW6S2G13CRJOFHhVfBRT662NcDbJZcq85IPcM+ObHUb+me5J5yby2/CjGocq
IpVGYp+f3O5STJgkSkDfC79wfk6S/SkiUMRLwDJoMjE5dYmyXk9lnm9D0/81OpnauC7qZcwgQ4Gw
qMoJ5RGfutAse3PuL5goACIPvMMXZeCnLOwUNiIMME/25usQwUhQllgfAjmUm6rPrIuI4/ZQ2UxV
SNCGvR+RJ8UwKVfDIAdAWy3SMzGpL34z640Er3oCgsUe2yL46sDy3tims0Nv+1BLjlfcURyTIrnz
aTV1KdpbNbYuNh4dHzrz7I2NoGBLUfpPMmpDctdUJW/BlVMQHMI58tC8qTqzuNHlHPxApRc9j4PF
/KRF8TKNdo63N6TCRSkQi3EM6ht/MHrcNqZ939bCVGsjMKiGKp1mwYD66kfrtHcopACraCYBu0rt
2xlidpdqd7yNx7yPVy6SyiVfK3+mxcSuN6NL2bvBkLIJUsvcGGRevM8yLs8GVMBDT+z9GfzV34EV
EWsxpj9qp125Vtvsq8nzXuiQBcsvmOAaIzrLhslGg5XsRyiKZ8ufgtuYn66DaECOYKJJX5SmaUS5
gxldxWw5mw6AFBGfNQfRSunG3CMKJi4iNKd1P6WkOxRSffpz1gbrQBr1wZCNs0N37DMCZ9e5Lz9b
azxRloC4DrWXbXbGrik1KlhRHfwa32tgukATxiaylH2sFOlwi6PJ2PzhrP4H1+Kfurq85dRDGcA5
bSE44hD+UzBnSIGzLluOg6QhQGY1yJLUjwo+N+ZxVKhe8xL9RGFvRatec9jeeFvWTXPrzECLUN2q
P3fzoH/BkLGUxCo/BwwjxZpMGqRqkVCvZZ03u9bTCb4T/KLFtuuAcFfEI2QPyLx5n7Ovd1ss1umj
4r2gcG45FzRb2bTWg3DUFrA+e//XP7rnLIzwH1YXxxJLCjjt1gCaLpfPn078yegck/wmc29JJLdY
nIioF4+GP76jFwRPgsBYSxqubrwG4zcqSKF3PvEpPA1NpVgOI9kg2J7pS2YgCsd9akv2A8zMPzPR
R09xMU5Hr9aHRX9KDTX953bfvPtttytjfDdStScik/11liWfdT2ShTlbxXXs/eZomUG9yae8PwVW
G5/smiKwdZsN9TZrMrHoSoS7NjOzY5NH4RLSJU8o9pDsKfEtrnAmwTs+P/WO8RYjt5urD5tirVsZ
TfVtThbOLtZWsS877b2iSw+PLuvPdcLG8MC/ejt4suQ1tUR8IqBl3mC29VGPu3Kv+2rel64WNwT7
TMcIkaQBit6Fuwhc4HHKjZTsoDlq13xsvQZOj3cZApB9o6W7y7hktygGUEnEnJHbpg2blw4t3CYS
QfVCLilRdblyfrlmQIBxl2XnXhPUR9t1eq5kTismLbfyxeikfQfiZTyKVtuHKAwi7hbfLH/C0o0v
rlG6L9Ir1TUO6+bqZ+wh5lyQL2k58U1Ym83BRuUNtLrphtjfIIDv1jWOi47dxhrvba01uqoiux00
ArYV+oBkD56j+I305B9MdfPY2/gOsZiX+7i07A8aMUNSjBzEomH+HOMbJJVwltAXXTsX7xCx+jIL
u7uZiX7am3E7nhUOwZvCz8TOJ+rhBrdEiy2aPPhdY6XwWFHhx2uzGaobr9LhXWvo6t71NNDraEUT
QSlL/rYj1LZpdL8FGMyuvY7Li4urYxO3agCcFRX6DS+4j5dTJK/R7GjvaLBTNqW6m+z4EQ/GiuCD
Ym9E02VsXWOf+rjBUq6J9cRR1S5nVuRyeqHsrw8isuL7YjaMX/5ywg3LWZc3ASBlg7B3IJNBtbnc
49njYOy/DklOCmfTLydns5yhPsxOvMoTmhk6DDdkmi7n7bScvKBB8R62YTwpDW3Pol9Pr8T2kNOl
J050q6wfBq8uz7Np9e9SYwYvc88j3LGxd8XXxZAud4S33BZWbnVQJcsdggg3MQ6ePatkjUOFK8gM
qhi+wZg6vcms2nuazFLe4Up1ws243GtJE4uO2lIrk3uCoZqTMVTVrl3uyZ78yE36dYMqAK4PXaWS
q4JnWnBPJYiGiM/iDO2K+lCGGf7R2E+Bgb6u9Nls+cWSqUbQnUyGnVXUHgrGll8RIT5MDdMyQMCQ
/ZqXkYLweYaLjGZbpAqeRMbE3GEyPoZBXJNzsGTUhjlpRqHRj+cit6oNnr3xGBLTu+rwi+wrRp8N
VG56TPueopnej50NLn1nrcayh2TIs+wi7TY9Csi0SxoV9re4dJ3briXpTkEBFKumjdudHTfBzxqE
/jrmWn4OeT9ck3ZKno0+7R5DUlNbTKegsV0UG+BojUEVtukkd0hXNaF0SSxuXUP0h8aoswsz3USG
pWOTA8ENJcl8quJTFVbFbQccQO2t9pqPsRleTRb2TYDCeklsBE0vQt/aw1fFT17EDw5eQGmIgQ0C
V6g7PBF5zHpaIcfYUuNrXMlAF3BZo/NYpKV7xQgt1+Q+8nwUSflUlYubgTL7/CgM9FC4VWO8LfHg
p1y8VU8pypi2F/AXfNiDDg4MluYHocn9pygVRsxuzhLMnrxoO61naa5cNyI+MrL4GslZg3xP+cYR
8bvJCZY9O+vGN05BPehDkY7jKfUMVyF2aIJNRTTUfRIZ5ps1+tc56sYnUPhiPZLpj9s1hPafrRb2
zPHd+3iyM/B6gnpnMr9xojVF9xHJIXon4x7TpweIEZRZuOf/8mEmTbjlE8ltVyiXjt+Ahx/VZM5V
bib3Bl5tMIAc3qvE+40vbXKda8KPEVKfvJYECPvkua7KdP5pgjoApy7gHWeiMDaVmZKkkEDtS2Gb
r2VLkcMwtf0FrT7RtpbXb3VCoEWZevPRs7GArbRCP+UzsG8bdoCFEjsFpvOrwG0wjaXYc4FRbh2E
pTp6jfR52zVDuUrr6CFefGOcPAzWVNhjW0g2blYWL9biL3Nqqz8MfV5901Km3zD7NT+zL0eakbaH
oZvfVWC+CDdHo5Om0j1Kp7zYrr5LcU0y9C8B0OPobjOfu4LX6sv/NhDbue6D0jXPTeVUR9/FDmsu
jjk4ErT0RGZsrUZOb4nBc0qYuH0mFbDfVIvvzm4SZ0+WS6rXHh30dD0jkVnpBQUase0RoUyvpFMb
O9ea7JukKZIzzt5oOveL589d3H/Y4TACJosnkOxgxkWRtf6N+jINDot/EI0suNGscXnQg1HsvMVp
iFRXMhov9kMjlC6incWV2Ksh+Z4vTsUQefbJXtyLqQ9yOpKvfNSIys6k+HaUuZEwuEpSAykH68hd
5rbxQTVkQ+vFJ1mF88jiJMQKOHE6jjSm7CHQyfMzc++1YBIECZyn4FIEVHtI+PKdsHrvPa4Taw+t
g+DXNzIAVzLQ9aqZTMxoKk4JKCzbY5q3b0HYX2bP/LUo/aFQQ+t7R//lHcVSXI/VE/Gi9IrbuAQe
7KiZir1OkvlHSgor7Ir/UnSKobrnbp9tlAh6aJZA8LpdTbEY92bvpptkzM0XCsZrSTg6R3HdDA1H
EjhsRF7AfeWFWPe4Sni+c+V3T8AT85Nb9Qh7MxPLOXVwN0QjgkqX/MzXXJU2ScEEZhth5F6EE9n3
vaZtaUOgva/2gRcYj5Kr+iospX852UfYzhulKyLl7Yh4pTvDnZxDk2SMRYa6FD4JnGbtbpo2hyBQ
ebona73mFCGEWZKZuinkj8kt8nQHBdfplUFUyhpW3dpUQ3gDtjvfMhCeO3u4XTzbfvZezg8TJeS2
0yGDVXZKxVV0m2WFIuiyMu89GdZvPF+L4nXq7vTsRec8VtWrOQyoSpIcFGJtcM/uiclAHiJb/ewW
gXgLzUx+c1MXpZ7ZOsfWwJHCTRDfuERfr0mjslZ9mBe4GFuGijQ6dmhrVzjZlpT6Pr5P0sp9mAiL
facXbSbTOSqOzUxoKMHfBLCoTOYHH3sfHHnnja+4k9x1pUq6Qinzig+RIwvaw+mHQfCFjt8Ixkeb
LOa9JFNpv+SI70avTA9OKVlkqehC/xpO2yGB1WWGxA3slDSGrhpBBoLEuHAkI5dynbxHXmtb8TMI
Z7IfyLdHgdMjQXea4BDleUwJewIbTnhdv+Mz2BgKi3k7VF36Wg8TibvdGEVEPRUPkeIQXbWlMe/g
kcj7gIzYkyb4jK6hOmVO2++zsGIgQwCz672UnR9y9CloKKyZ+6o8pZwZw6qdAMplUno2mkhDE33b
ZryBmTI5sGeSv9fwPGTdIC9ed0HBnxi6gvTWkG6WSSXt2nBm77OKlDjEeCzRJxekjXfoVwyUrAdl
o5DpFG4KstRTEOyS00zrGr9dJjdTn4Vn2wrDC0oTnEzxhwSYSTPzGJX8iTg8N0WYrWyydLd9ScZ/
4TvoZLW5zVFwn0D4CG5vggf28oVV1ny3BdZVYowL0svsbrFFesSIGfM2GWXMmoQCbdX4WX6O4fz5
CkLrqJvS+jH3A/GPdqt+xaEeV67GeemLiYghI7QqAkTpn1UqzX7YeZm9KZh3TIWZHT44xgA1zqB9
ZVfpzuT49kdzckGWpNuKl9RwBtiGBE2Ri6LbrnI6HpZUVelVaNe06R9MkeR7zKf1jRKqPbSJXlMX
sDbH1MNl6gTzbvZSa88bJp471rVrZ6Qksg0YC5MC7CMOzBX8klh1aXYubXka28Pk830iO39rcU+k
dew/2GoI9qn20hdCN5xjTSTMjZfQWQcMKY+hTq+RcMHs//UubP+jVVg6Xy0gZoCP6E8snsYuEob4
WPfGNCHVdlL3s4kGVL81lZ3BKmjYf0U+Rk+RqwgpbrIA72ocV8Z9rrPpw8Xj2Wxzh37TKUlnC7Uu
eCWYjkDSjwvZIpFidgzMowvCScQcMbv+CEA4lS65pbJ0KuzQWhq/s/j/FiD/j6H2P7rJ/uv/o/oz
y6Xw3ZYCXcQ/x+SffubfVfRdwZH8/LLDHX/853/84U/+Dsj71m8C2BzvDGJ6hrO/uc087zdbAIpg
P4V4ka4Nm/IXQN4KfiPglbxCwmLppjb9vwHylvwNhoUgJYdIGkbxfy8Ukb/xT/AMfS0Cx78Pc4OD
jTzPvwfkk8xHkJNSH9ia3YNrYc4qiCsmh5xor8Ao9M908f8abhCQ/lqgChnzdjfErji4MyUKNFYp
czu4C5STW1ret67uyNMJFZcQ2vY4z8Zb7+vC9iOW4jAod50fyh+NHZY0ZfNe81dW3UfLKd9eUhP+
YtWMifvqSit+6SrVXmoUE/Qo213CaNKb/tkbZ/+YaAKZVpjGyRRPaWzFm6bJVATD4vpW+pMcnGY7
Kf/sEyj36qK8xVNf2Wj2yVKeV8PkMQy4Ph5RY64oY2kcTERtCVtZeA6i9doFVrDzMWhWhuMbaq2C
qLjLRoc23dSxKg5bI5CXPvQTtR9NTz4jjBjesB3OaOS8pDtWQRo+mR1zEL4h9MGrpHaRHmSNLle9
MSLsB+BM7ro8H14aFtUM1CkhYdmcFXTsdGtN1nCgHkd/lkQfvBsEukOW5G1712WjEW+0ygdsrpZ8
CU2gog6l+BORNOYrrjsC0cnhGjCODZpiDrz8jYgIxZ0WTDpyx+WD52JXZXz2Hs2VLH16zXq7vDHz
hJWeX7P6cPtKHtvYxFg7JKbNh/QDb2WKuNxnZmrd2QWKmnXmTROtM2mEJNbAaxExCu9t16d7crKa
oxOH/mZo9akk/hhHh41FgmaGh35MwLTSaLBWIyP7TYFNghDAftbfo7hOT4AR+sID1XNRUnFh7N0C
yj9aoAhuOToqWwonTPJGgrlxD55RJC8YT7rNTAnpefHGPRgG8Erhj/WdF/gkEhUEQxidFndxgPwv
94l4dkneOPMbhVwy2npXzJn5Xs/zfIopCL2WQqWXKeVBBTX2PrpMjTtTjO0xw/t+INr8CWU9IyGC
njDt4yt1ILDwQVM9M46D1fW+8z0hJfycmA1iCtGUO5e1SHgEJYMvvDHDI330kIX+N3XnsSQ5kl3t
V+ELoA1wCAc2XEQEQovUlZkbWGZlFaRD66fnh2LPWDWNTfvH7F+Qm7aZ6ckSIRzXzz3nO7xNL43X
d9zAuja3fMwg8aMah309JnelMNZdBJWp3NJNTYNCnnHgjy6opa7sqHtuGZl1IWjgLJswfuJ7IC+N
oZwHL7WdfK+3I9kmGmNeG6m7T1abFCmGBnZSsPzB3bM9N1mbxPVS9VLp1R4aoH3VefnQBNuWEiLX
A73gEZ9bKVSLF+hk1pWMAVSTusokN3OyGQHi80+M6eW2hvreQo4Omk+QVhQCdCDCwW0T60uIDPL2
Y2vg2mo70x1u6ejegtG2gWZFX6iY3fCuHKtQbLBDxw+j6wLDGKZI+SYhn7eSWfYax9ZwnPTcvsKz
ImszmP3MrwTPPOs744Hdhdy7c4XDHUJ3/+R6o3julBz2OGGmTy+LFW5FUaBPOon1yec7/hk5PYOe
axtsX3Ikuw+qWa1sXcHvQvyJpLwl1Oj5k84FH/uyMkk8FEm1G8IKdUjZQbRjiZTfojQxn3qFeSuo
bfEIcd88o8UI/pCoAsA1OkNtWGTSWlC3obXr9C68zUNi3APcwAHHhebcRqX6nvAR5l0NTPECFLk9
ZykNy4ExMx6bDqTsJHOvea5mVL56Qoeifl4/OUFp7L1qYN3CKgmbTpo2/KVsendqzTCeaGcisCGd
TPP5/sqrTFt1j3NNf7DEKDDYYhWMjuU8SIKJSudOXk7192Eu5rWuYORLvUwgzdmoYp17TJZ6CEKw
BaRSb+xr9LEixf8yVI2fkv0/Uvwe7Qcvv+pJjYBNEAopg0XRKvJaYz+6hoKBTqzU5ovrN7qKdzX/
WGFHzx+b3pxQdZmpjdi79UkcXjDfu99T04svQxikW4NaomNVt/0pdJTYS24an+mM7MW+blwzzba7
SNnyRBCF91CEzjnw8HFmXdKtOYvyUz5NXGcKuxt8qdSn0WSFD0OtxtiRO9+0qNo6bvcNZmu546sP
mx8GflSJaIN/sv+yivhHAk/AdxptWi/i9bovNDaSALtijZSh3dlsWoz4JjRLbuzA0e6pvJF7AP75
IdSCox7WNoKPM+pgQLXpdUmdkB6hQuMeKC7JwDDUSr+2xGbOsydw/+OWbZrLWoNcEtHpQ1a2VBfV
8Wei9UN2FNaCWiq9jvBduNi+9W6mWZlipwfcUsll7LVy66Zle62FOLFSfe/Gcm/lsPzyZgZyMzbd
WhEsvrqFOONgpgGigDVLOKD2IphOXkFXAIlmWr/g76+aciZYMNoLOj7S+Y8doZxdZSZHmjXIPQeE
EafNDPwEMdRtcaPHxVDu+zr7UFOmjmhE3ZsJuAU1P5riSzK1/S6PDIxquUlOqGqzejdXA3yZGrLW
WvZjd1JRiP4iFDZCtlrmau408wcxoz72ecTbqW+VbcQwo1GvXBIrW9LIDc+BWDQFtisuNc16zpi8
86LpbtJpB+inUUOjQMaKgp44nOwsxDJTXGA43vhrOZAs7Cl5Mhu9MteB1w6UhnAvegmC6Mvj485N
nXK5ob3Y7Ja3aVMlVFsF1UOMUL0im6dMuG/oS7m5gE8TdAt4dLChcOT5oczQJ83aG7DDz9WaoqVp
bXr1cIHQZH82Ig3eQ35jRD44GYtNY6WUxurILOvnQvZUbsAUzhpJjVetujuKMMOX1FblTs2D/RNN
JXsdeqvcCgxdtJ9klINBUQ/r/ZBDel0RCgYFVOZo6dxc8jueAcMO/lZ/dW0KiwQD2Us8y5R7lDYe
K+GGG7Oq9AN2SzrbSiSauUeYWbsidg9RzWtle+38XUAw3LtkVzemPVOmpOiU2igDpTZib9Gmz5ND
BWhro5nZkFJKCIGisTdSB7TpYjYlf6M6vxvqHya0O6YTPoopqqHQIW1zEG9Uy5LAYlNL7v5eMytK
nggYHtJysvHSBMWHzXm2bgiPr+1G1bEPS3dbEgbkCYNAn9Sue09wYXElUjWqyoZbNwjQFZ17Ylui
UWz64FcmWlzDvjsRu/hpsGuD289jCmYY0/5XR2e3NdvQrASj1tVLC2ubh0PFrpa6KW0uaAQaeKpA
Ku6f2qBunyerywjVjCwLjfGqh7SDSK8huBihlwX9iIQBrsxPA3KqpA89SJX2GK1Nc3zjh/ozaPz5
s8YJ6weJnmytKMzPepma33i9aS2wnC6H5F/GuL7QH3w7BEHJ9Tw6ykBKPNU8y4Ou1Im/kawQtsxY
Cc3BvW4Q4VR6np77CF/xCouYfcc3lJ5AFhvUj5u6uoc6YP+YdQCh3O3zGy4344p52AEgmdk/PHzS
F6fz2EEMUfxo1sDjbN2hDyOp8vhNM1R74dhkQzunw6ap5Pdw8TdKqOvIgUl3bbG9vlkWPLE8ydkO
gGZE+ZvMpLyUU6WY/OmFAcgeNs0qssuJ04PW4XAe822Gl2nP5dk5aLacHgISqPMmhX9exBJGECGN
ozmCSR7Yrt9GFb0Wjgzu9KBM35AcWLdJ0ElkCncUZKT+FCYVVlTHIB0AhXSKDKL7MuFJVwahTyjF
8AFSmJvOc5CCFMqczlWGl9mFrNpx4DE/Fq8RaafFd5kejZAdoV1jfnGNFjbqHAKXXDUAWO4x+Whr
1TmdL8p5/B5M8F6dmOde4Ap+56npWenzHB8lSmEhq2en7cNvLvw+goTs5ToGoroOD3OY7pTXlgdD
ZR9jX/R3PFEBY4LnKza63TWrVNeIC5H24JrFxq0cvsc4EfENluqY1ARw+qTvDyZclKOEL+KTNaQw
QqXBfiC+4i1Mo7LKkoPMvoZe975CXOGHhFoNlxFWX+lDVn+ftGg6ZVStNaxaspR1YqHtAoU+BUe2
2MLy4+WzBuum2S58uSit78BR5+vIKcpPnQ/MFRdOf0gEWmssErni6sM4UXnavpUTNiEP3+kYxtNj
EBDHh8WdfaSGN/NXKTGT5nP0ncuYOPT4BTagUa0VjtfqWdPm4SHtZ6hDVW4ab7Twae/sMbttFesl
ge7JSyEtZDQn4TDn0tO6xl2NwRkoOuKdy+Zj3ZPd37rlBEkdScaZucn18bpseL9s6aWvUz6STVeD
syu0fCBd2V1MLVo71bL1JhXodA6moNj9ifMUydA7jzlm3KBs12Ofs/iPBayNQT9S56b7Sqof1TDu
aUZ8cpe9lmP0MfgxMBBplk/7xpXhdrLq6tCbRXtI+VtiZS/6j7k3at+jv+ZFs4UHK78IvmvMTPgm
OmgnfW17O94ey/eAyl7MOSvPTmupN2y7HbMRQLFCZ6TtTE3jKQjT3TcyEet7jwYl0EqGNp6rPOeI
r2Ll7QQhixUOHqiRLJTcbVAn7nedADCLj8bGvIqq/k6JmoOFAwPIS8mI5NO67l3bYc5ecVFDXfoV
khHm+OHkkeLZkebGXYbTjLMsn+9DTeuPADPGe61phmZFdo/SKpoi/CBl0TWjVDx4yqs/oFHFO6ce
yteS5xtHPBkjOeGCcdKhvrit0Nm/t9Qkdi1GJjDtxX1rt/TsdUUP8WoOe9q9HfgeTW+xiLQLh7gx
ieRVOgn3LWvMaicb8TOmb/MIUDlgGTnF5p0bEsAbMjN+WbYK61pvumiDgthdRkluuQ6E2CL1qdfO
TplcwQve5XzdKRLKimtQkyaHZjBnbKbnaUPZOG5HfGrNXUptzY3hmjwRvXzTvk4ER03FQ/SB6H/t
IbLb2YFooLtLjbl+TEpm2BUjnNqTNrU2HrcY6sCNcI3No3l2IFBji6fshuKD8MVK3HgX1AGmb2/G
cDbkjlixa5iPtJSVx4rCiFdCe/2TxxR6v5iht+WcmC9KjPHRo1qA5vSOZ1EwzFd7ZvNEmF0PIbIk
xiVveowcBphjO8nsg172Y0XV1YxeXiSO/dFbGkgwjx3zB8mvtEI8YM1lkbVEa0k86oskdqHKh6TS
nbQZ5o1ZuNx2qwBlf5JpeeE5Xr7RLQFwWhLZnrHGXVK3ZfHkiuJmupb77MhUHllnjCuj6+3NoAl1
tauJEStpG2JlMon7V0OyObL1JLoF1ih2dWOAVxND6rzNVEkyNOhQDMFen7SU2g4VE29d0Q9X+bIK
krukIaGpTe4HnhFOMEjJM6LVltQBv0jiGWsByr8HRejgxJ8wSGhpQ8wK7cFgfbg3WrykZOXUs5np
1bFIm67387l1PjWL+8VI8VdIEhCTKXjKSrVoVmVAJUZI06asGG81Z3yMgyS7xBZyri2QyO3Rojjt
l6D5/1vZ/Vs39vIb/W+zWusGHPzFd/z3yu7mQ33k//aRf/0bade/qLv//OE/3dYCnVag3gKbcxau
L+rpn25r/Q9XmhSFE2vD9wYz7J/irtD/4N9AvgZqRlO26/Fn+dNtzb8ySfOj0iLswgYBr/IPsNqf
NkP86v8JWvtvbIfeYrf/3XpnoxBj7gAcQszPpUrnr9puifAwWLlh+ci6PzvpXGVt70rHe0qYfbiJ
QJSaJF1lWvBEOPq+nJ03WYe7znuPYPByXw9PQTS/pJ2zo7Fja1Dol5znpD62VN+MMvPDoL9Eg/5S
CWKUbcg5Ye+Sud7rS61y4FtZeTLqRSvYOgM/W+VnGn33ZB8PqWPeO7V9tR1zh5353gqMq8Vw7oSf
Yxhtp9Lz3ax6dLXycR4DP4Cvb0XFOgUHk7Wfc/Y4haCNFBCM0dlKi+tS6ZIeVWejtK65Nb6UNMSU
bX4Hu83nwb3LaMpFhdhMIniaJ+56bmA98S3e10Nyo+GSwE3kqVVj1/s54MqBnHnfhnJvlqAZidi8
t7X3hEfpFdPWyObF2pmBc2A37zMqfCcEtalKdbaAzf72yftv3sT/Gv2yfr2JS/yLcKTBp2ZZKv2W
1ZxULZBgIQfCq9qAI1gxH5y5ZdzsabrJWmMcjtI1Dxdf6+x1zzvzP/8BLNB2f/0UYYLFKK07toOT
1bSXCOdvfwAGMOY3EQe+RlU3l4szxNItG3liypNNji8S4C1TZ9cF811SzS99Hptn27A1aK2cSHL1
YyIUv52d2ln39MFuJXYnPyhmbK/1HkQHQy9g44PeEnTGor4mI642OwKqZIZqAwFryHws2ajqGXJJ
Edj7wDNPFf3sKzBBZG8a8X0itY3nY77v9BhDfWxwIzW+mZU4BSCN3aQ75QAdjgVo4dO/fkb+7QH4
+/n373/7//pfeEyanuA0+fsjkhHjo/79aPzPH/hz5+X+QS+pbWN71oGOA8L4x7HowkFHcyBGwuqL
68TyYfpz5yXkH7bgc+YZREMc8ZeKEOsPfmIJoSw2K3AI3r9yLLoOa7y/fKIF/WQmuWfLJlXBL7mc
m799oqveyeivVCYmG8N6SkJr3nQTwGzuWc2mT8Zu11fqLaKHZkWWy32LkQfpt7cxqbb8w9rlbO8u
UWGl35Ioiq90xzoXw8tlcMAVGtE0LOqIUq3acYhbDEhrrGqQH9OI1lfMUvkhZU7ekUmcv6HoFNgQ
Zfstwg+CSw376s2RMBp0dxGjULLWFk3TW66qoHDqXjx0DRqD1eTFcTIarjV0DdGSwEm+MUC1fNOc
WVinsm2SU5J5YNiBMuZPaUwo4wBhWzvpCb8REkYC9wbd2yEsq4LncZGzla3ZJ8cr+vcqLlvMTpqb
xutKTvELjbH6M5Le4G07M+TXNrHlsK5OOIHCbBZfXhhk2cqJVHGsmzHc2r2TXmeR1NYqgXl61lUi
IapQDswWQSoAUY5Z32s0f3kr1cXTvRfTM9wrmWMhYCQEOduhOoreVt0tbKfup5HF2gPMN7DeGePn
R2nY0PtYbPSIl+SHyDGk3DwqmB7lNpAwHNdh1Kf3jNfTwRlsAPUTcNtVXqUxMxme4LKTxdm0waAn
hhHOG8UBiMmVBhfR2TXUHfMnwzomPScCvIZJyKr3iZaiTxUs3N312Oq8u1HnCdg8rorfmyhJD5OV
S39qdbys0pCPdqHLLeuF+mtqM9YtSRN0u05LzO8lTIg3o+2do1YmiPaY4e4ddxLPPLbrS2rTBbWG
4Cg1DF56ovl4VJD6UyAlaPHM07+a2PesWL1bXeWlX3GBCllzWuqI5i3PAGiGo922+j1zujxBGBp8
A1/AO1ST7EnldvtoQTQc9gVC3308aygTrqD9Z5XYo3cFbRzdSkdH9pLM2Be7djnZKykOurGQQKhP
BtnQzOCaQBCS7UT/Y7jVvASLZTdwMfD68RwMzaPS5+Adt0161FLLYspQzkliqNqHoha8TIXhXWv8
CqiQMncRG/oKTy6VUQgPqYdHZOUUjZy36K5o+W4zm9B0m5CeFqcRfjz19QNudAqFp8TXh1jbEG59
hyAabAKnUJsKa9tLZdUjBiP6T8gJb2UXLFxwi12qxbrW9rYoKKjvtfUtwFqnOtFsi0LWzmqW0ZkI
w/CVqeo764HqCoX8kXACt/kmWAcQNRfGPlJZgxndGm6qCjeSzM7awCu7MoWzLQATqVtgKz71jpSM
LAPrunxTQVMljzyy6SioZyC/SvMYaph9rDF7DTqoCG6EEbj/uVVnl0HTX4qbn3PPyi+aHiGMG2ax
y6y26+5J03Ixpd6tdmE+a8SOQNe5711CQgH0XKv1fFzD6DuXWF3fcJrAiCr0uQX9MI9RtDM7XpyV
tDOAd7k78IfkhzDbFhBiAr4JQ6edBxum0npwZfoVmzncECPRMNYnNh+LdmSdaFs70O66D/7JOBi4
GZlIdH2nQot7eTgHwbPkpV13bQ8WiPrcrRt6QGfSaEAr1zOGOsrpuy11hvMFeVh/dJN6fneNCuaB
iOueJnpRHEwZpHeBcIMtxtj4ZxkPqFpc1AR36VaftgM9yz7GWcxLs4A7mpt99wY+QSdB62C1w8Uf
U/MXV4BP0hAVr5HiUjMCrczUi9mghfWrBVuBj8MExj7AHqHKosV7k/ePTD71K2jS9ChVRbsOUpXc
NR1LMF7/5g4vAghUs7S6z3DMM98U3n4O7ZOBA+Dc6mn2WouwOYXhCNs31R67sk8PSe6mDxPQp5vT
6DMbo1Tt3Dw37xiZS6wEqu+nO6wE8YYVT//seSbSILAODJSjBImXltpVb7gan0w+TbehrDNomJzw
67TzjKM1ZG9kzds3GmzSlyruigsvc3oPUtN6h2FK1VVV62OJXtAHtzDqpnPU0/bD1mxuNgmme5/Q
pgcL0BWXSM1oVsOCpbe87pTBc11Hc29X8HvnU631sM3YseqP85BmZO7U/BjMLTXl0HjTbyxjTdg8
Y3tTkWUeZaZmZ9WRCl03TkKELI26g9F3vEkYAuLHjJ6gbbf83jJGcWnzWGxDlU57YZRUHA4R/T24
G0qmcMHiJM9o682MEWcImQ3tLBsEk5UVZjuY3Nj062prJNSjE+cZHiKvWTyEWljs8NqkB5CM4S6w
onINszz7BrNnfm6x75xnU+d8N2QljqUVYCLLI9M4hLr51UwU2unGkH6y+6lSfy6S8nk0eqAgFqNH
Di2gluexdJMLOb+JnRlnqx2pD6TomI9xmlwTSoBu3DJo9EaLx7mmBi99HzhPId1GuqmhSOfFPT4i
oz0MVTw/FWR/SbkWqjvqTe28NMTCn8fE+KrpZ553cUC3pwwz88ZuIfwhOy5mubOEGCYxmqupsaBq
sR4cfYct10tSy+FJctR8gKiLOXRFj/YKICm3UErs8llSvv4jM9E6Ye9kG0wLVFKq1niLEoxPiFOV
eWsrIMIjh+gYkmSh5DE5zqzeX70g/PTCBo6BQwLU9RJfiR7zjQYSoTIegdEipSUF2/wquNqANriV
Vjjh4eAe8gSb9mNa8yXZd15sn2D6Oo9QO3EAN53YJWioB8yvDB02GcBPChGvxQQqD5t3fRDocLsK
85IgR6Ylmyxm05DbYrina7hh3qPtHqO7Rz4+GJ7RSjNcSxg5IM7Ud1hax+e0nFkvpZ69yK4YYhtQ
u6i52pM7Sp/SQ1rqdeHeD42trvVANpMFRfLNmFjM9qzifMin5VcOmG03pE3uh4xb+5Fagle8j9Nt
6Yz9IsY8boeG/f9qcJzpsbbIEZP0YDARzZ7a6OgcFd20TfuoYpsA/G40CuenZHG1LgP7VuJ9PymN
x30uKuOTOsyeEhbSGgHCcrNkJ3stPmUqCC0mSbi6AU6h8zwlIawJBZd+cmoOEkpWP1VfC3/QGvcE
U7PdkaSN75yJOcog97WVLdjhOZEltiFP2+WY2tmBgsCumvFLOXNzF5fo967ZwkUsG6BWbMLdNk5X
kk3fGY9Eigg9nBk6403i5dYt60W2D0qO9YLL7bY0qcuT8Xlqo0/Pmr5Kw7vJMGy2qmiXmo0wlg+4
ZUtzXZW6sY0q7cSZqDocWkn0pCrO1VUxjWSP9KFLGCO8Cq4U292tObXagws4TH8bytmVx54o+I6Y
iMd7X2TWT4asotvZsOxeeEiR+xpa4wdrybA6zgSHqsUi6331nWsY2xm99r2x+oEkoy03Fr2YF73R
LqmRAOLpILQCsYigTzbpualjj2kOZBjLzCSe8NQZ5JKG2jafstQI96pBtqTePtgMbXIy7dK5ciK0
dGWgYzih6OslWxa/lvzEWShtatbMmfO1bl12jqVeybeMyfqxqEV95vtqd8xe7bStq6m/T7UqHoBu
OoCsNaMlKuUAJvchlOoQYFKDbgkjzx5nvIGVX5L9eMMzps5mA49jvcRYrmbBhJKmFZ5lhlXFWjB0
ijuMxLazblQTOIglA2VzKUHa2Q/pPWFBEZTRN0z7xqkusWmvIp2Kj1AyYlhdcyjAhl57pK9s0zbq
InpH3rtIKWQjJM0ya/AiCotabHyGZedeHC+Vb11kdAfX9TTQZ06cFmsVRmm0DtixjGsrc01vk0P+
2+CWMSoSEYP71ADhpAQxrSd/dKVEUmY9YVX2zkvp7mDbVKcbLUKkxdpV7zi1PojUYWERHW5b+GC7
zC1JBMX4R0R4x2r1Z2X04T7IC+0ATKhBhUKtKCMQYvF1LjBa9E6pNhlh8Ud9qDX2gzUKuw1nPsXA
s86sdKctVwyAT5jbyaVQNpQXzIb8SY6Onf/EI02JeqhhSGJtxxvBDsPhkROTM9t4RQRzbMjWQxQ+
tRHuQiMLn7VlQ8Z1cNjWSXvjdk7D8uBeTNFUJMK0PVTscctl5FMLzHNKIRELSUB0HqY7qYfvZPpP
Ia40hP8aOhni4GYeKpTqImoPMsVmv4B+sG0H8yaIlbkx875dp+yvN3GPhcJhD8bqo96qTGz0bPyA
wbhh/bFvvSraFFZ+mzuZ3hFXL3wn0ucL3z1rR3zT2/DoMVbDMNVw/oBE4DtvwoegpC/Twq61Dqu+
8yu964gNxATXtDI3t9QZwV4kn9bvRsMO7qfANnAKZBCcSbp38FYk7IKzM9EusO4yXl+3hqyPTZKF
q2n1e0uTwUtniO61SXKKlyKMqdzEWqxUYzPJkhhL39+DbVSR74Sl95JZavxozTA4NQ5Oij2gpxUD
jf0aDmUX+q1meyCyZi44R9004genDMFuIu7O+3LUMc2nnv4tJKf5CKa7JD1SoxLvtDRrjhJEDjOo
S1Bel335ja33oznxUdRb96ltU/vEAYMWRrZ+P2bVB80+pIBgB/kY+Ui6N55fGnr/Q0xdRCYCIsI1
7Ex3zx0L312kl9nb5LrOehTTwl2ug/6db1aMilnGgDwVNWvO6OzGiUc1YYfuICIvPCazGPdYc0mm
u5Hh+bGoUW9DznxOIX14Ce00eysyjyJKp+1y1pSNfHYZXCz8fCobVyBl08O/rq39PzjL/1ZY+4v8
9n/Lf85cyaXyf5Lgntv2o/5II/YUvwtxOND/8bP/dKDrFjIV/ysimv5Lc/tzSYHkRlWhYEnx17oT
0/jDYkMhPNfCBuo5S4nuP1YU7h/8C2CHrDfAy7jS/le0OJCB/0WLM9ADDdAyOuKy61n64k//TYuL
gml5vDliFya2goKeYbte6zbWAS+Q9gfQBHFvEBxeVWWqk5Mh3Ecif3LE1rSI+A+2HM5eY8brtNch
uCckuKLyuZvzTd7TMSIlyZrIYePATrX/xH/ZHvQkxkaVtKEWr705N8Gju/Z80CZi4msXCtlDkBnm
Nm8rbmJ8wGmKAM+YgDEv2OS70Spx6AnX02EPSK3+EdY9DC2ZgqTyVOyRDTbcq96ieIVo0Au7Jd5o
ssNdzMrct1oV+02buAhoBtyKaK7XFbfoXQSR+SthKwoHt5r0LbMCxYJTpz/KOY5vaemwhGa1tVGY
WeTKYot+1IyY0xcH0VbMksugCRo+XsEP+8ioOozoPiTVptzKUisEQtoKideD4bQ7xlYeVxunKoHl
ulb5qausulqpfrZm57319MtcMOanVrZnWXLue4Lh9nQfEUNGOOzuyIxdSFYxRFgSVjyPu9kJ8c+7
yQh2geh7tg41hXXHZZraRCmsktaWcM8KLpj6hoqDe1EkpzodMZ+5ytoEaFHgxwoMdJGaWMS0Xq33
uKFF8aGZ2nSZ6hoFCcYyHFm3vGM13BXrGaD/UwbA+lgnU7MfHU2/IGVk+Og4ujeT29JySPwihbww
yn2P72ifhV3/3LPmAG7JmQZpfO6blYkVTJeudihEpX1vzDZYd+gJLqVxoiE8NMhvQ+aIE12aA+dh
ZFJ0xSsCG1bFX7Ez1L7Op5JeuYLGu4L2xR1Z9/y9t4Vzk4XL1srQk8+6LN4Y3uSb581yJ1WePqjU
6u94AjkvUMbwGOGkPOdxJc9J1oWbynAiAoqIaAXIv17H7VRXprb39CHdMdWLe0nnCcDpWBV4JlI+
0XbagKcLuqubR+klGxGKAWeLkTylMs4Tdxxw20YiXyiLi8S68YbogIljeoQ2PR7U0Bh3wliieaFd
9h+m7Q5HtjvWmkbkZNenc/s+qGA4B7nX7OkxMZ9I7qPPuUMx3Ewtqd8zBxzEOk3mplr3o2ZXV4/p
nOfDoKhxA03VoCamGs0aAxHlYHBLUoLpuMtnjd+G1qLhrncc9WLByMDVQL/ouqLTMvIbiDyQmXC9
gB+G22c2sH9kIthMxbp747gwwHLGIr4mke2t3NnK7oZ2bs+94+l33MrdcSWkPT0CWkMTSdsGsa0y
ClwrtIbp7YSeJoyE0rEaB3M8ygVrY0huGgGK73ow4CXwm+bJTcxmfgkWFgR5qs5vgzHHwmtkG4PO
kL38hY9oF5IETqvghm5XnqOFM0F0caTFYKFPuL9AFN7CpBAJnkNZTM7ZiCBWYAyHXcEa4IyeMyC3
ZOrdLrMFchEUvbkW03P5C4FhLzQMo1Zg7BZCBo2UHs15Vf1o5+W4iReSRrwwNWRs8N2aFtJGEGbD
PSUH4z2ru2FhL8DkKAFObzhSaThp99rC7ZBFHzE0Bnh/FqpHiwnhznA8dRfb0n6pIEq+6AsHZDDL
ECTIWNAnvnBC5NSJG5da+8UIKsKsRjkkJ5Ky7CBaCT1p4Y1gwjJ/col3N4UxlC9ovsZGAwv6Ei+s
kvQXtgRK+OybxuRsk4VqIha+ib6QTvqFeYKQC/5EayChANAIttEvPIqJ0YIbRm6eQxUTS104Ku5C
VDFQEOEMJMYhqTvvNV/IK1UjuofKq4M7/mtwKBdCS7ywWogrRNtW5NVVOE13ZVOUfyLK9lvLEOqd
PhLv3XOJHWK9I+QyatyjFzJMmjitzxWa4KyroY/XC0PG+IWTsbM0OlJo2B3L3oIttXBnoHWou3Jh
0SRAaUQ9umsHTA1ey8Vo1IJfKN7LXygbyLsPYQU6eKHcgDsNn6qFfJM38Iycmqh1W7NbWsmO+7/v
TLMin0PZT4RjehhwqJhOuG4xC59LqbXreYlpoRIBnXTpJA90ke/tJHaZNW0Es1fUzqPdxdrFKPq9
Cl2W4vjuRyD/e45q31hIlyoBuYFvsPbbmuU+SGPUt7pulygL27vsmJpto694T0h/JV0OJjIi7Zu2
SXaIumT5u2CJ9OtRAZOo63cdQxdAAeyNa3cwR6Zs3R4e68US1VnwS0Q12Fu2df2DqYFy9Dvo6/vR
KCdfMeQiH40eMaIHNJF2lamuuSMiXX6WnZmyJqYQpHIndRxLXp6cz/wTTbuYxsfSukQN/Sd45MqN
0eTTyRjErjXpu3X6cWb7LLJXYwy+Uh5aCCgf0Sib/aDwPLg5hsQC5peFv8omOuQZRMJGSzMfGgAl
Rysp9Edr6pH2EZ7GWyTByK6Ea3cm0h9eeFqUjS0bLwgtQtd+jkHtHAkz1C98P8AguWR6TDzSPGa6
4ku1qt+7opTHFpPoRx3ZODei/C7gCr/KEF/9sFfBI2+A4jUVSygord0PV1DkYjVVRKPkiPqVAU4P
m9HYlfpc3AFe188NRel4w3UA6lFY6mtd6/uSxQQYB+G03EM9bC0/lWZietc0j7r31EIMMVmJxKE7
xL7h5o61g1saHXILJimlJOBJo5HrVj6OnQ7LKXeyHf7b4oH5Is4vGY4+4hMqixZN3lxHBx3flbsR
VZUMN28c6yNpqux+AZH/UJw40yqynIFMPrGcxnTiZ1Op/yDvvHYjR9Jt/SrnBTgImqC5TZ/KVMq7
uiFUpSp6MoKefPr9UTN7o1rT0419c4CDc1PoapSUlsHfrPWtdJtS7q79DEML8th8N1pIp/i7Zx8K
djc7O7XQHFaJwDIk2F6iTT/gK7G2AJvUfTMMNwRQrEqEazxgc6yrsdp0xIKtfIFfuqW0WDNSjdY1
g7GPIRnHX4OyPhqY6d9IL3h3VY+lXTpRdRMYkcsUv2sPM+PpdVnZw9mzFze0Ev1pZoVAvgWiUa+J
yZHLuT01orOvbO0/shcuTg2CMyxxhr8JcaKDE4K4jR8i2shclruYrekJMfRw0yJJ24cwyh/arGA4
J0137Vile+2CMPrwkb/vuEYjzBOzzcfQFY+4fYGN2pipRBGP+2bu2x1DHHPtxrn7EHlRfcbcxpww
teZ0I50WGIjV0wZOhreojtvoWLNZ+G6mPbYDAt1uCUbv2K1VIO04olZVk8pLR9DT2shDkmw0ZGEc
hV3CdqgMVnGCx3w7Y4bZEottVJjNB28bhyLepS1+UKqrAYEIjhKMKHUP3WN0DsXomg9hG8TbWgkc
ioYVHljRZftsGkzSPCIwkVZjw3/vh2OSh9WtN+QAAjo23jWaHCN5lUndHvSQqXtB7tNmtJLoxknA
iBGQ6xDu6+Vcf+AiGIe41tYhruQqMQv/4IUtfgMgsb/8MmP01Mj8qc/KYu+2+Fs1kobDnDnyGOjJ
2S1WNeBgiiCDLAy41ZCZu+yU7E0iyvGMk/ZOimZHnSrOCBxTpEz1i8G+ETlWfOkn463sB6aEUSWf
WFm4+Btrghcqmhbles1aWWK8UjJut3VYQp4dHeCUHebGNWtEtJx8MbARFm0+3EOGcB+JcgcfwJaO
VzB6qzpswqvfOss/USERNvE3fdoXFZDh+2QiC4KZYNmSWmtLZmjgZa9g/SQ7S6bVJi0H4wkC+PjI
pDR4Beqobqx4jk7M4PVbmAzp1ukp8Feok6M9Oyb1ONoY+oUkgIVYtGRT1IFxC3TNirloE+ZfYJoK
sQ6chYsRWskrAjzDoKgpyTmy2nKvem+Jv8vIhEmMH4wncacYBJCQa9scClYjnW7Mo9EquQ11YL5a
XeedCOVqwQAEFbwWn4s2k/LiAGja5dKu5abQ/nysY8/7RqUe7SXrEODTw3vVy9uu7R4cKpTVRIgz
vDZr2gCmm+76bkn5zuYzhHTY55mf4783iZOhK41jd5cTicSxHdXyw2o1LCMD4O+4ngqKwm1vmNUL
O3QGaSrx0afWsdufMWxMx1hT7QL4tdy7qmr6mwZw8EKnN8PrCaTDT4na6QNSTL9RDLi2IJwtMpwz
hFO418CAurbYVlPvnlgQGweJmWjTpHOlwYF1yQwXQIw/+2Z8beJZ78pOJjunLvKdHHW+6yN6J1fJ
BXs0J9fhIAmr0EXdAhWRBPUincb+Ys7JzZyV3KHj0roi7Nq9xeyKQMNG333PhR6ArhmHo1U5/XFe
NtakVze/VNxSChbDMMLvW4gEHfUCEVMaANfax/p4xqiV3vSfJXf+WX5bSyXOXZiinNhOcppabe0E
vTwJhUMc39hLJW9/FvX+Ut+bn5W+AILN+UD9Pxh+S+QuPQEepGBhoyWXji0EXBJ2VjdNSkSgQpxC
mgwNBpxGeg2XyozDaGlB7M9upFsak2JpUcCz0a2ES+My1MhUCnfABRVPAfFLnTa28LkATX+2PP5n
+2N6dakOrfbGNToJEymPJCDAwVDJqJovLumAJEhK03tXJUvCgPA5Apr69tZB6Laf/KmZOcTot5BT
PyimiZvcUPcGuc4HZfCG2Shp7ouOkPEqoVJmWzAaq4pSGEdHqU84e+KVU4ct29a0I2AP8TrJBXwO
6zgS5uIgkmsWOPZt4A/es+YzmFZiaRkJYRvX+N7pI7O0zmCJtEwKaDJRl6Tr4bPzdD+70GBpSJXJ
KkcvTWq3tKud6UZntkRntbSyydLUsmTxzjzJpdGl5a2X5peYkf7WXRpif2mNpRH5b6Wj38aGEba7
NNDd0krPS1NdLu21/9lpk68wHeKl/Q6WRnz67MnzpT0vlka9X1p2oi68l3Fp4xmt0tHXS3PPvsz4
MS8Nf8ohXYRsYtpeQ6fsPicD2TIk6JZxgVwGB1bbBZu/PlGdr+Jc04EA4pBszPjNWcRtfxx8Nezw
aRK0sZ9a3wGqmxxbK2QgOxnB1rKo063AlrfCaQ1zZS4OEZl0JGtbnvnW+DHBrXXlRR8Tq/IrsvQm
oKxmc+szzXulMKiebV+dOzLrt50guYbiabiHXkawVWGojM80tXFXeeRtiZamk+gX/MAbNzK8q8Zn
37xtJ54VawWm/syEy3dYlQDMitaFajYvB1n2eaaln+fb/HnWOZ/nHoIrXDLLYfjXb5j5VbX3z0kh
xbS1jLk8+UUIGxBeNCFuILN15T3Mr/arfjde9f1wae7IdilvjPzy14/oLB/B7/ppHtEUDkQndvUc
ld6XRxwYsBQksoW4ZvzwO+i2BJOHk06XbExma00lrU71pGGVERkefzflTHgiWthfsymXTfuUhDsU
WBOfJavIcTuHGHbWFmk6Yk/coPHStMp9dGEqgukpCcVkwYLtc9tmU30YdaXPdrFsiMp5PFLJcD4x
Tlm5ng88Yfb3PeUnw4YCsLFj6t20yAJZvc/fIBmGx2YI8yMyKn/fwgt9KpKhPsMWyO7ioo9OVt4R
vNNTED/EgTu/O0OS4o0eRuK8xqR+JrFrOb8KK3/5fFP/f7YUoOByGVv/Z7Hs43uR5P/n8v7xBzPB
v37sX0N6lP/wYcCvB9Jfxu5M3P81pHf/gcPACly+gb4MbAbu/y2ZNe1/ICIJhBDM6JGGL0LWf43p
/X8ITzLAJ0ecS4U+x/3fjOm/XgiIz/Ep8AcdqFg0vX88qxg5+h0rIxhLkbpFvd2TfqO/FY5Nk0Q6
H+O7K6cZ50PXwB357Z36k8qT3IAvV6EvUAVLcPa2z66CF/rHBx8NJqeDh8XPzI35wA0MSHAbT5+e
6hWbyxbgdwrYr+njfadEcm4rU/wopyDaBmoEHBG3TjPgdZrHS0/kIwPfUZ7KmvCvmpgaEAJBiVa3
Ca5tEFCbrkZEcQjdOZrIulB0Zsq76wMhs2tVUC9q1320YxtBUmTxCz0OAeYJg3njVGa+eDKb6ygp
WC4uljBY5vMud21FanLe2BfPmY1HE04e9MzCnu/qKbJg/DbGI+3JuAaaEtwMNjM1z7Odayqwcp8Y
xvSUJtrZai+kfErHGaqO2+0tJCynAPvfXtJsHWdkPfZ6rA2UF2jejOzgIFgCeKvdBq9R0g1Hg3EF
wvnQ0GrvAIzYR0mAisUIwV5X8eR/wxOR2uvMUta9HZgRmqxPUWRr8K419nSY+rQ5Yx43DkOm4+Ku
sKP+ZxFOgnt1QzgYpXw5cS6W/GgA3/d1iNjWA5wbiofSbl4ojOS2Dxl8BFZ78kvnFBCod4jSGnRk
jS0t1cY3lzvWteickQqnwz6Wd6h9Vtyx6Ibd1B5ptotxvHRKI9uugRcz1y32OT79PfZ0wIGp9qtz
yV3kGOdjcbD7eHiM7IpEPoR8G9rYedc0vgH4jY+7MTPxjr5HkAeCC3wdeMW4z4zgppg0myXAo7sM
jzx+zmxfMT0GlYPoDFtW42PjatJtwJUjCVLqGK7jfVZrwJn0yOkQqp0ycj5+wu13QaecY0QE4IoM
vWDXM9nasEZtXtzI9F+Yh4trlSq+0ygFfVPbK6hxTO6iBAYJZcS1PWE/6d1lu1N07QZQUbO1BTRY
WQSk/EY6Hld8gs0jAN6c7FvEyw9+1GAz6yUkJfi2wYLDzSptdqRRJsO31O9s7ih4lFhOdKKkB2v6
hKsFilO2c2ZA1Ct7sJx+V0B+ZJvg2d9LshhorBdMhZe2+R680vQw2KH3c0bI++ANTcDWsrGYNsed
8S1NrPGcdIXzaGcsJoH+jtq7OHEWwCrEp0xgWy/DYTEW6T2GgKWcFElENkCmo+pIIvrwXU0jRUuP
1OycMm80v/no6PYzxT2bcJPFfzC76fdmrJn1F9zCdNTlj01iyUNZ6SMqO3nAQPhrbg322PU47JgQ
27+iylMfCcXlYYpkcq1Rmh/nus0It1fQlyJt9xfEz+okZKK4qEezfaLAD36koR0eF6nxxkAoi0J5
GOJ11BTykAmd6g2e5eaacgjoml3WL3ZIWGfeDeZFVLN8p1OjIh6QrGLZMrdDOZT3JYLJB0Qk5nsR
ze6tyTgJmHHIWzj6zVOYAlvK+0ac2zEqXuNU6ucqte0nj2XqMW4Qnyg1teGGKQv7PVQTw141TU6t
TsJgg5IxMesfNDtldIrtOkJ7DznGebKAyw4Um234Ws/hPkynGHEYtrWDM4EN2ZoxzIWDNRgzsdVJ
Om0rF00FcM9pFci58BGF1sj/I6HLCFrmhBgI3Tf7QNAW73zTkDSXQD04kLwgITsg4TQGPgxyP86q
kDxsNUzlxrY7Brqe9gJi9xjTzjaOhp12UEfBkrL8Y6h98xuehOC2q+f+yBwmfGlsqw43C/LEWGYO
iUEiUs9l0ycGY1oXHiXVbDCcokkOz11KeuUxRCcXbnSazXcm83OYMnbcb8MoGd/LdFQXRM2krLOi
CejGp7dpMEr4Q8iV92WfGw8lIXg/NRiZYzNXpK55FhIVFCol68F+IsAHoVz5ypd/jrbF3INIQIAc
YIkDlJjSuLDOBf/dM8gsCFRqUD9rxrvOoMy3UfWEcLdxxkQ4XiSXLkLiN0zkDWLDTDkvhaPEKyMD
hG3YaH+wv2bN68xkMrRzvUMx3dwg1Q4+Gnsm+FOPQbq3ZSsAKLhzOK+JvKj2UzT2cs0/S8jN1HNF
GJJnP4bT6LIihiderCqn1YcprXkCaIIzxLfxPKBVM9OW5IssLZB2NRmhTjMzeYb78wSmscom9CYh
pDhYjq4NawbUGqCugn7NWFnLfQeUXfXMrSdkGZumHuCdsVdPWdLOp6xOgx0fGUzV1G93DivCs1Yh
NzzCt2HXaK+9AmWwbC9jm91FURXlrQ5B1EiHy0EZtBlmNslb+D4xISiFZ9+kfe9eTDLiURFZIMVI
ieU0neNTEehhH2cdsCgi8eAtwyMlljdQdnxvEFjjbgbSLY0VwhuxXOgGRUKLIDIC4viR4sFjYDkl
jBIwqzS/6ol148y8r2LPPBq7BuAkWRJVG78WTu9sWI21d2Rv7u3WHW/JAAju0RtHz2Yr0eNYDITD
WnTFioTSkC6aVPbYC+pzE0fxTeOB4eHtNJynvNI98HdGrHGW1BiLRTThaY5dMa99YcN3cCTu9jk+
YzjZ5nXPDZmB194RFZRXtruP/ZgOlx5qJMGFQLYuVmXgr09y++KMJvqzwTNAbOEPgTbSggWB2joX
BYn00NM6I2bJVs14mQN3lwiyryhgfzi9gaXarW+yKRKrYkIW5aSKx+MH3V0fFiwqqqHaz5kL1AB8
yM5R9oCJD4n7LeD8IF25jWkXmwxcEbZ0V1WES/v+K3e5YbH3kaO9pl2ufhV9PF+mRhHrwHSP1Fwr
RS3a2biEVgM8ugjdUgGazsocsUqarv7ZTbPf7h0/aX8g06inXdH2PXEbaBEPXm8xjGVyiB7Yz0ml
Twtvkhyt5EOsApOV9pGRsOJXRzPVWlZ0hMY4kz41UzsDT8idxqfkk9wPVZd0L61srJdBi3wLIR2S
9VKqkISNuaZYCcQ4yTbVwv0BWtC7Y+wyPJsIBlgY9Ul2FSGbIrjAovra1o2onhB8NqzX8La0vKVB
cKthK10yUffEJntY1OAmHiC8pTd25PqvY5PVYj2aXQ4Cz3dHdQyJSs540jAZVz0HuFpHAeyGFYag
+meQWQlhRowYmeUN6fSAM08yDGpGi337lAp5EGNFd2iQFILavKrOcVqoX6TN8TBRagKo43NxOFeb
uM7XputwiCX9IJtzTazBcFMWDgNp5mhduYbLT56LExkTTgIxMmpPI5NPXU0zb1CKvyLfZBTEcien
2HroayD2V13oRWKb9pbVXwWuBnIFvJeiA73ZVdd7uU/ZI0YqYDeE78pKAIo9uACqNct/hFdmvZAg
575wUaf9lenU9qkw43FROhP01nNUPE0q7MvTSF6SXokE5i48oUDaGz8JakpWNaoTlC3j3Uc3O27A
DaDj8ARlFCGbZZOsLTqHftcKlxRsPpOgviLeKXyB3Zg+11PeJ+c5bl3/KNshOuZVjY6l1sZPYabh
VbaIvVeCu8pxGgeO4grZ+qs9OCKmSzDaFz5tdc0sNc3XQDXbo+QwP5BVZ7FDgp8XyLA9E0ueo+4I
4RyteOmgLWGYrEfXGS+ql3m88eIobFagxomGVoGWj62wsLv+TT9mfsmOdegyAwGcFJu69JmMfBFs
IYBpuzxxWmB0Ij9WbfQdNfiDNtWrHRQPliy5sWKl3lBkfmvSfr77635wmbn8PpNZHt4Vwneo7giI
EV9mMlnYWCRXGstqBBom6E485X2S/9PU+x+t858d7deHQXxKxyl4HBl8aToZtvbWMDvdto9aesK+
UxEpv7bhH5yYyG3m+gpFtBWU8QdmEGPJc1qmhzg/BtbGkzxO2EfOyIJb4ha9gITXxFm7jrAuyEKm
V8taXCaZiw+z477Y3tqArcLd/91Ry/+r6kkvQB1jMwv5zxOZfZeinWx/103+z0/9cyDjOf9wvN+x
vfy+fw5kXP8fJoAGPD8mEk0YDXwF/9vD7PzDI6T1X9OYhen7PwMZ0A6oLBcPv2OR78oY838zkPl6
FQjGID6XIdMfk4mv9yU2GTt+7zY5PpRWxuyaZgyuLzHi8b+ZgC5Lvd+vAqobdxm3uoHnWryuLw/T
YNtJh6h0ty5+3G+9MPwdhUcEDrbN+n1UqH7/26fwJ9Mec0Fgf31Ed4EiM9QiqXkBH/8uBw0gsOJO
CN2tZ46oAFWBmmVNKYJYhAYU7ptbJA8+BPdDGzIGHURgrDQ/9a2cbHMvdJBeNW5sX5m6t7bW3KVX
wZQP17RW89kcM3X9N893Oe2+Pl8+cpzkMhDev42ISRZhNz1i983CqoCNNWVrlvj8mVHE0qSE2Bwj
z4Vo5VcfNXbLj270h2cgY+Dzu8r5FdGyPZUkT1xF41z9+uunZ/3798RfTuoll5PhouXzffz97fQC
LVSK13zbwcW4TmYzI+aCIdDGa4b4NGEerAA7UYLlrY2k1RDRgW3juOU5+weUHN6LNUE9nsb4ZJrq
KGLjboxMSpwQPwymXN1nb8SgMosOHWxTlVV97yITGtmk1f1fv5Z/m8YvX0afuZdv2Ta4x2VC+vtr
8ZN5QFVry63qckpeWfu0NCOgNOx18dVQJx0UZ4jZW6Nqhg9wTkBp86KE7lUWrUQcGhh3RI+0b67T
w9IyTRqEzJCvI9amppHXXo2YtvQgRnq5Ed2Udtcf24rWoo7SNyU19+pQvgaytS8tWXtlOd3gVekP
ipCIY1bndB5Fqc8O6YdoKeKBUREze+RpgF9XeD+8bcdOBcPSYF+jb4g/fBfjDIwiW52kq/G7gpWN
VrFtkYJSCLBBqWUE7aaax/T1r9/Lzwv3y9eWVaF0gCnYpo0s/I/vpfLwU8hmkluTiIKbSmTlrkoH
cfYtf49i/JeRDuMNHQ+tSMEKtDgA+Rt+IaOuyeDS7bWOBkKQLW15x4EIpQ0CQYr3svRMFvW2uq3i
iokeDu3xFKli+ggYgeB0DatTkI/GKyvC6AxuhvSGXCV0HxSKZz/r0l3bueJvvjicrP92jXJlLrcE
5uqSS+HLi/UFOoHlIgD+1F8iNoNEL1iGc1Qc67fG5AY7bZoW5NWciaz2o5OtpMB0RszhwZwd/wlA
wPQTj5/48defw5+cr77D95oFAsp8f9ki/P6VzqOp6HM5SNy1llzbdfUr7qejw1J5443932g4/uRt
oGpiJ8C6wEc79aWkqbg/DP7Uyi1gQe9VYHlcruL05q9f0p8ciH94lC9XKVTtxG3QUaDkTJKfomqq
M/Q5hm9OS07NXz/W17UE79yylQiWO6oP6ejL28dXks6TxfW2lLZ1so1i/phd7Z6p/8W9NYKiX7FV
w9RuC1HeEh1Tb/76CfzJWxqAdwo8GMqSZPavb6kxwBmIgeDkrdc/m4MGJRDO3t/cha3l1/x+tVJn
UzhI6XOEwy759FD85pGwOHIXcLu77WV9r9C9rgsx7aGY3Y0EIAfJzVjaa3scPsaBZMw4N25mM8ey
P1fM6exh2gRdB5sgdqBL4BrfexF2NzneN5aCwDbFEJISWCOCIahycA2tkOXUqDP0T4yif4MT+vr9
AGcESJZ7JQnAnGRLxMLvX/nZmdFSu6TM0jGATe8Qn7oTtLPZrf4udvPf3ja2XsuNz1xoMqb0v3w9
4jm0co+mdoupBB73hI/YEzO46LrMdzYQjgNv9d/t9SkFv17VrsDO4lEucbKyhPv6cQ04JK3CHMIt
zcAjWP9qa0c+oT7hOLzaumKubo7NvRElxzoa3rygZBw6TNY7ZGBz1Yr4RO3Dbt73ViCmbhvFAJrD
TRMeqvZ5W7LMD5O30Greqt7cJ0jyVrjXWdAUIbONvIXhMIxH5sEoW7xG3AbugLG/YNqVkE6E+io3
SHnFYVKbobz2q3Dc0OeflWXkO29ElxaEzL9sVdx1GpZNqSMwhOIe+t6aQ/+YOf7Dgue7md13R80f
JYOzm3IuJO5qGb2SwdPdGBoVPbJvJIFzSjSxRpZaN166zxO3ZGoESvRtwsS8GZEoxOtgbHqyZIJ6
78R08KgMbOdtTCx/F4jiUan+tvb3jM2xNkcmwQ6y3sqwYGlnRMU3T0riHNpc1jsJS2pbJoHCNieZ
SU51cXGY+t6aoxtiFU51ixrc4Z5bd9bPxkboV2Bj2yVmZOJyzIAPB2YfbufB9YpNyF3qG87tYZs0
JWjedFqr3H3ARFdtCDyDmF92HYz4WcM9re3YuQvjXsMpwHaK7iqoRiKby3lvkWCG/6VDYDqNhNpO
VvBrGjBlDt2j7rufKdXlc2KB+LFnssICv38pQFU1xdjsGkAZ1yHa7medpvZdn9WSmbOqYGWy1Gdw
NRMbY+u7Ipifx6jzrxFfOIdW1TVQmgiMZ+aPqBOMtr+pWXvuzTmXt23vFx+YyZubrvYFuM44+uX3
bbBn4N0cBKnydw3+oddSq/yFRNk9rIiq3SUpiXlVVShGm3mHKhF7ukRnA/KWPn96yqO5vbPDqXsi
hT5Ya6OeHo2YmChVGdnFUDo6zKwn7zMKrQtC8JjwLwsvkC48HtlVl3A2um02gEPvgB28kzVUH1k7
yItVK72J+fQOc1q0d3GXf697b/qeLq9wYOm4x+N4K8Dpz9UjbjPgXzjsGdhfh2QY7EElD0dCJqsf
YWjGjxXgu5VGqUoB7psbsA3mlYHhYNMylt/MAUBOzDbyztNDfMl0NW+Emsx1NdWIQ0Uz7ozema4K
VRc3pfR/xlq+lUKEUJ/MSsEptpLxBW9khX9/MBCBMGcmE43JJSq7o08I0Kqro5daNS8qwKu+aqVZ
Iy4x2+fIz9wDo+piH9hTtWUYbsEoGJiyFQgTa9LlDmmt8l1NgtdWsitZm8Itn526NK4TntUGlgH/
OCvvOWHHA8DQ4Wi2trvlX0V7C6dc2PQ/bUnsWEUqWpMGxCICM4aWn8T8AyOKH4ji87c9qPhdZvuY
ahqVbc3K8B/sbvrekJR5n9eDeyPRyq64BucN1Mn+mBfydlbCvuvigs8EJzXxKM2AGN4kkiwgJHQX
BwP7KXL+RgQwZyK4yA1F0U1O5xIAFc7xU0uwCP9PzSchNC+w0s16kpyODPzhyLsaZ5wZp+8NNNsz
G5/hksxhficnIp1baRRbQwH4i7G8SSd5Yz/d7CJm/RvHQLnUCigzPVF9o1Gkl8UnspqM0frBQJSw
QF+nGx3EYpNkkb61jIJg1ZDWjtC8wnm2Qw0qHehVvUV4tTG97MZoRXcfhdgGyJXp7AYES/oYZlnJ
K1bZHatZIlunxPoQ85jfqz6l0vcZKO3TxvLQoM1luhlr96a2XGdTqng+6NF+MEPQ4qVjrbou7NEA
dJiiFKmztfW97PUpNuUGMzkDNwcNftk7+0HhnKwN8VBlsJ3jsb8uJeF0QwfMayUhMby2c0FgnR5K
OPK0Z/0qZkQPX2fCnqHmGjVsS2JdYW8ZKkeXbmbK3VookeLBRuLkVSjiDV0T2pgEpYFbvHR2buAk
mM3DK8qOal8xYj1VttHf4kbULArKEmhFpa6k21T3jqvvWG5NGP8C4z1x6up9rkW2N0MPpBicLzzN
DinyYW2/8qyJgcB2B1CN9VIw+vM+dlX8HphGeqV9IL6ey52zxtfMdaGCQ5903RrOAO1gPrHLj6ri
qGzJtHaS7LNrtuo5du1dqzm806S+q81fWcwcgVS0qXn0W69cN2asbi105PdulPknyDnTySNk7ASX
YAJh2YYv5RxMr0DxF1FDbt6Pkdb7UjrcC2Mr3Tt4X74tuqu1wnCx67XvvapIiGMSA5tK7YjbbQy9
h9HzZszs6JbJTouSvqvOAzvKU9s38hzanUQe34tHC9zWHRk89hH/gX92gohdY5BG133h81+kxFy0
l36oQqePgNugwsIJOfAV3equ+U5sZ7wrc+rFlVcvp0sQx2aGqYC6f/bc6dg49hYjzZXqbqSAc9W4
5c2Q4wuP1Oi3OLZc7HSdDx9au9V9OyfyQya6ePWsEhG24TxPoSOBFQtuf5q8Bjn0AIlx2aV7pHQk
RTlucdVm2uUMc+qdw9AUVXwKrwxy1oMhe5Y1IxKFnhWwjAns9tROTBBpclNXm9kp+OKHLVmzmxF3
yZF8IEgwvnjxnda79fn5VTcaxl0ZpPn1nOgPt8FjK7IaNwnkq/KhrLuLgUfAa5xfpV9f4RiObmUW
uJtx6rMNyUMp3Gze58hL5Frb07BiHHXdRIpRb7imUAt3NdRyxYBg+hRno8gxg+4GXUP0RIvpmjA7
0OKB4GJ96jU9Me12ED57tWfeF0Urrq12UFekLY3X4zg2Hw0YK7YyOo4fh5InYwhH/rRHEfzwycG9
ypIk3ZKzKa5NEjs3tVvWRB5S9JEFvYg0ORemdytovHPRN5MB4KvCPRV45T3p6CUS8bT/iW7P7VYp
EuATWeH9vqmUrVaemZhPwPH0OkVygd9Ocr/uGf9UqJVDsWcB7XCr7HT46Ciz48PPYfM1QxHtJ20D
vG9C7UJNjwnNShorf66IPX+F6ZVHeFLhLbDAjMNwm3Z2DAmmSoNLFmf9zsqMYWPTDCFJCQ35hpqC
eZ4K8zfX6rx9IFE0gd9Lq9UwFMF1kGvFkxdgcahnUnvbK0MvpmtjvhlZb1Ey1Y26UVNMPlif3rPk
+u546Qu6EpYsZPRe1VEYHbpufu0II103M95Q5PGwRVmjbK1iIcYttxuBqpTqtp71MiIaN2Xh6o3K
/e5s2TVMmbCLd57NvqYwPFQNpC2OR7RDuxD8RVrkAfS5hnQakBZwYqcyPRljop7LcT514cfsePf+
YD3Wfv9u6viId+AbVtzX2HIwtmCGvtO98A+NKL21IwqPrYWftZu8SooNFkhCyat5Di6FwFQNjW4+
FLlBop+XY4ZIfVleB7JuH4wmQ6NS+VAdCePtLlmZgPZpCHl7H4cSdRpPoWNLLqM7QpUfwrGwD8A4
yrdxRq26qgdhHxgtDT+JsWgfcAvqPfB2iCVKeYfSmCJ/JbntEZrrQycpTGK0HZfQiNJWe65knwTS
uoLZkg6HXpgwYyqiTmuz87d4L3DmR8GVXWbqzs0YuCyyZU30V6KO6KawjNYJNx3f722Ng0yqtVvN
9KwiaSfyS93kFz+z7LGLWW30ZLjcWN06dtYzm/mrDG/5lvq/ufFgUOCjZ9S6ra2gOPdOjCo2cStv
BwvI26eBIGwocSqb6CDL2JVN4D8YI27rlcfQ8AnxQvVGwy5OjCiqfY0kk4u7CwhnN8B2hWhEiBLu
g6L8aBk67ka7Fe9cwxaSniE8ZJ0/3xq96LZIW3LK4K4GSAeb5FrEdogGbkQjn5OwcVNTfGxlnEFm
MfMKPq6fbBLbMU84K5/yXlxZRVN9nwnHJqpexw+s1quHWdq4IVQ73QHZJw+kCNw7jCbiG8j34L7L
LOva8kS44ldGP5aj8FsRVfFDNxTk7FLkQt5JSRxQqRE8eXPbPnoZ2JtN1yY/OFjyS9wP49MgCJDc
JF5W7UzdlN/Q4mheQ5wdYpbZZ5I1oos5R/qur8fqCqaZfVRR116wSrGyN6zoJVFdCH4KUYACInYa
CNI7FRRsL0WQ2DMe0yDfU/OgGNG9Y0BnG4OD7r2+XaYMyQ2Twf45c5gMjmAXrqqgbwIQj0Nzh83X
Y5wy19OhpF47EfPh/hxMjaZsTsvkzuareqf9dCrjlTEQSy49+uM4p5s8ZDVD2dViKtjp1C8PEPXT
l6Yp6jedOgKWvGBxsKr0LKDQREP61Jky2Fj+ZG4dvOn40ouCxoZ4XHHWcR9fDFeUW5PYwANpMKgh
bFPRBsb1LbfJlAwe/G1cJRpRE/6MZ8MsyycjMXLANL7caDWTsEuG9CXzxjsv9D2+/H3WHRQvwQB7
gNmMvzruenDAYm+zyfeQqcJ7H+itfHn/X9SdyW7dzJplXyUfoJhgMMggOcxD8vTqG0ueELIts++b
IPn0tc7FHVTeRKGQQE5q8uOHIcmWREZ8zd5rGymYLheyQWTHiByCDpLamxgFA1N8L3D2k6z7Xbbx
Es1sKx/EjExlZ1DwkC1gzF9OGuefNYpMgrmEM85BU6PyfpZpOh7KTlLsGts6dZfGHjgZkvWZb5QR
etvjG9EmdFwu9fWwuKo6FtIw5XsVx8Pf2cpLWmsmhzWBU9UNDDAhtLr4K4Y6LEfCXcNyLXodUkkb
xoPpqNG7YOUmkHZxnI+pQpIJh0s+l5v0j5mRQR2q5mYEWqm6HKYDqFIvos/E9tjpjqNg2yYMCkXm
p/uqXtpwbAgZcFzsddE69GR6M96Djq8yh0WVR4A6Es0OVBNq17tC+sNbNjsoCw3wjrpz6dMMb/m7
tT5aCXpvfd6wg/5yRHtDKpZckQQ/cPybepZXWNvbDwtx69+UOdCduTnGH7717nOK9eDsPCI8zlyF
HAP8bhDhrFPl9feOl6z3Q0Nq4c6bNqxUzmxemYYlnOdzVepwlmUGuKdpHzKUxfeN6eQ/aS1pF13d
eb9ybDZM1zm4f3TC80GMS33Jx9QDuYSIAM2jVi1ptljYSvwGH6yUeK/mMqPRy5qXeo69K/FzSbE3
PPmrtBhA6SElt8dmecI888Ba/lwUxBlvANGoZzYjec5Wt3xdJvgd0gSS3aaeeIBAC/Qb2zwCItCz
w37FaXtaq86KWiPrsbxjW/4hczUfc66vdwzAt3gZL1XkB2sxnPstL74ayqVI62Y88qomYAAn8QhV
3VBQBkc0dItlkLgwLsQKBcuyxoha3ZRbcpm3O7C8NAZ0w78sp/NOTFfxLszL9yDm734w3kxagF2Z
Z+IkBQBkr5H23tYcoRiFpve+TZKz57f+NYcg9z27VZLtIJus90y2uBkqCuub0NAlHsQWjEF78uYw
hxvfYDFQNrFb+ztYjh5+3/4KWKykfPnPpMqnTqSsmw14mzNae8U6E7eUXO1dK0A02LcAp2aNacG3
d6fv5xugXf8ivZ58JuTK48MSu49zOjp3I2eww7cVhwC7BiY6hZwuMyq9U6/tkaCZ9dPkq5Bhbjh2
SGNSYEldF3LgE28J+xU46sQcLjn41Y2r6+kHlHPyY+BbP3tcwwRMgYdmx9VETJfkO7dTYOMO3HZ5
vDr3hiCykloG3VNZeGEntru0rrqLDxgQd1vX/lkxL0YgmDEgt/S6xoJMWXYaD1Vco2TD0Ml7YAiC
Qilpkx1YPUvvUMU52K2s5aD6zTg05gA4sofhu0smq70fLKPem3bvnojaRkbGSSdeWmxxvxll5H6I
IhBxKeb50yaG5yru00dhMRdEwwzrQE3yLo6nYMx5Dle1gjPwPGJS+I3jIQR+zdIVD9tuSv1LM/sf
2pDue7opBYahJ1ze2wSj2WrBuzkl5wlV2Z03Tyok5bL7mIXKL0i4q4DioI2sZdZInTpSx3xf3y0Y
hhHEmsYa+ZgA6IHor57cla4Y6eB86VG7/k76jQu4JD9MOqzRkJDXb5VyitckmTZSSRP3nX19Q0uU
xQRb2VMnIy8xm6BUuZChXY/eu2fga5Rtab2Ma+3Tz2bgzuxbxNMG7aeV0gt63ecBRnUo3nbNo+Lb
S5UdNLXkgWsaBmLmmvgAwXikoZ8CK1BYQX9yjEKqVYSt+oT3akr7eAMwyxba28iHIcRgP2Tu9DwK
zzyWlPcNp6mHXGq6eakR/2rjKSvX/L6DxH/2OuzoadOXodaOui523WENEATedzdbOd7Su2UoVdjH
efuYLc3jUKFdhquwq3vrZ9aoL78EsIlZfckIGQaaoVJYb2FNVgC2pTs1QfvHQ2A+t40D+7GW3rla
NbknQ/Fapz4wo3JO/3aEdLy4vW2/TqiLT5Bit8jo5pcYfz2HtNLP8CzN41Q6xf3CTVpPVQ1OJp+e
EXolL6jmqsMw9mpvVUyZGejKO13bQCFVO+4xXpPwqTnzvd68mElpHJa4Os1l7x4mKHFhno5/R7qV
PyvoREJSl2BaUYktDokyM5uvImurk2k1ZdRBwD64KYABwpHGhidcJtEmt/QVgPN+Yx8rwXifBLuu
yFyH3/ZQbZdEExvjTSM44h6pY4soczzWzJ/g5ZnTviHbq9u1o+VFlvPQYfcg6qho56B3hmmfw7ZL
dyOr5TYyu/Li9ahFWiPy8/oewfT0WfkE2XlGcpiMRZwQ9PLRXqnIUeiDZlBXa4MJ09LfofSyL32X
PjD7JRAXVkqT5k+N4Zi/UhR4HE20w5auFsb583phAPZW+LDhWtMNWDwAAAB9TpZeewIXdUnq3KaX
WMo/uDGBd8n+57YlV0HWCgzrrGmSnbAS4EytZ3EdGM6+dWiBNic7udY6tLvG76p2N9Zssig93Itj
LAVmJBpkRagJ0GqnjjxR5QwpaScc4S8/SS9WUEMLO5SNommHSoILewhNwBUzgFjnFxJj+0V1ST3h
37VI5yM7SO3tNR+P5bpC9KarSM+OgXLrAC/U+exnQlK+Yv6A17NvFX2vL16l7WKr0aiXCZCao4L3
tg3opaONNFtEz37LKKOHeE9IWfzStRJ27OQ3/gF72OkmSkw8UMOdAzMB3BGoxCM2o+wrJsUvoPPl
keoz0eSvRrblrBwRs/tfSRZzEAtHugjFQeJfFAAjH2CaAjHv+3nx5CcYxbAJeagM14n9CAva/Fo6
UNK2YlkC3VnMRPE77qaE+1Ah876dp8gxieHInnM9Fy/TaHPacm7UB5lvzDSJP0JKqjLlfpKgOX2t
jYU1FD8LABp/qsgMpW4e6OuwPS7lfgMEjct7FfDUHK572FVMI7JkplsEHWo8eUb/waC4j3JL96ww
R/eMOYwZPiBHOIkQubfyXplEeaJDeID0cRqq9is1kXyz53pwuN+ThnRComuGfDRebKER39tJnTw5
FCR3PHHpZ4xTg4642+khMa/uCjnZWaYwWa32WM5dxnZpxeuaE5dW+T/nZH52uuXDhhsLYoY8kTDf
ZHda8HglZFweYPU39z56yUD1POhkRa0Yua2byEZMz9zdNTdkwZQsL9sqog2gUx0Ne0l25TZX3xvq
zaC35UCWHCQV5IQ7CBn0TPZMECo6lhhC06Bf/KYe35IJqfWSSYbUJWStHAGDWRZ3gzTiSCyuCMG+
MaQYmjj+oF+ozAhVWhe6hdxOcyPHn5nIhyro1bpcthHhekBmak7hm7EW7kYu3WpKOPLSABM9aObE
P66mmEKTVsfi/KkwGZS189JhWKHQYn6amcCIAT5/DokhDuvMiXvznt9ljUOoZ7xsH6tL11YFrLKY
bAC7yB5UD3lGC/mUELaV7IdRrj9x7hXHier4zvZH9bF2G/zRjrUeJdGGZDZfffNuKQ2yUF0QJ2TW
ugZwuyGJHySjod/0pnQhWx7fZ3NSM6jg58dP0khdEcWOAOcR91k49D00ESvQlSD42zfYFwxz8VZh
f+inVu+dSr+PxJXyE0zeWCAfWuHBjGOXFE1bPwTmClw2dHqHGXduIMdmpci5kr2NjVuiGGnpTGYe
tF2pzP5vvWX3befeSKYr8L4+rDUZw4TScWUzyA82L2MCn7ZRask5HFDaTDvbapO9v1ZYAxrUMCqE
MvvLmiynRdTY6mNF//lh1j6zVWV3Jye3uj8QY010UBYPiM76ONtVnT+/lI7Aud+JsTgWIBQYrm3u
1U296s1aFPBR0jVmPzBtci+wyHe7uVbJU4pNYHTB/A1zm53ZnLBygE1xXHqfVJ7enG489Upvz9uS
1UeEZ3oIrdSzjhDDIXHXzcQ6Adn1BwmM2W+cUCKoEde8KPTXzImXNrs4m80R5rjz4wg+ZTdbMY1c
YxkXbEotLVPX2Kfemu06UCT+3WvqmPO8xsnICg2IP3lHyzpg+mx42dE426Ee+ZEHhjW9FwOB2KBK
vChTc3/Qnsgp66yTcnEi7HTqHByAQyQJqtG6o4ODpQIvBn5G121P4LqHPDO+G7CxQG6IOyhuFa/e
rOwZvV5zL/0ZB0tV5o/5tqkjr5J8BD67vdup5RLOizOCSJeafs8B+LQNePaLBkpxnnNu1VZxRedk
U5bN1M5xpy+cuEtAMIi3nzilD0oW7P2b/rYZ62Lxo2TccIYDgpy78FOINVI9TxB8oU03zm8BzCbe
MdXj8ijyhUBSouB2qTbyoEwnHTJDkqEJPXnXIjH/6MkMfBE8n09pK3iUEjkyd9iaZwepFpBYSyEz
l8D+OWQZUM32yQSqzTSlWLPQK5zqJava4jANavzRxZx1jSlZ6OsaZdtuNXO+48qY0jkoawiWbeKO
BI036W8bHe2nQybAA9nLIIL5xwQWQsUdLjYH2qY/B/haFD+pEhpaLddLanhcOUkz89vRTed9GRpg
jrd+J7Mr73BIP/JAMa1nmhRU5Zg/poaopnDKMRSFAHaq5d7fWF1DG9bDdGg4PNMg7Yf5yGPdUT5K
RqYa8sqJWLTkze3MgbxnM5vNsPFL3CcGP1kkA5t/rWcBgcit+t9WoneSmXvsyvGhM6r1VJuLG8Ax
nPsAwh3ymRRSwFPCsOiFpyv7UdSt+NCWhDjtDkmUGE6yj5t4e8Dpj6mT/BEWqOvM2hk05Aeqy/Gt
2CwGU15FvEy+iVuesgXJEsjZt59AySICsIgw668vnd+11xpaNtgVWUbK7YdzvZAEDDxttli/iH90
ydgDJOgPI6f7spKyPDtrcsPh+NAuuENgWJbeuh/sebtn0DKeyGQ1vookUe9yoNDG+1YdByPFsKbc
9LBkebYXo4pKa5n+GH5nnTJtxQKnkVZlkIrsCn57eeSJLCmp7f6zUXP+W/qEIfRpsr24+OZAktPv
tJjr2puCIWRqjHs6578FU5LXFdj8hKuj9qC8zuPwIpZqgDbSdM696dWgCFeBR8YxoC6SvJoduyxl
g74V5uMqiSqnh6jE0RdpGbXYa9FBgW91/dx9jWdp3adtQyEC5vDcl5bmfebVa5OBJaa3lW9pXyEh
IcydLWhzZzTGm1sb3xJp52vVGt1zM9nx3miw2lDVNnNgZ9m7afTzwzol7itU1vkZQDUgpPxJM2rd
W3Y+fRSNGh4dIZcPIwbolCNEucgm84LJjacPjpUPVZTybjVu9cEN0SgLG8xoOZgHOCbVYwJEnyT1
ufgzA67fd9oyg76aYS6xKjjHCKyO9IYZzqLWGlPyNIFUle7QHfBTb59V0vWEy6w4BytpUI8NrWns
SurkS545SVhDVDp2WNDCQZHVkrRks3T2TRpRk240y6Q9Va1i7qPGQy9dGIY6bghuEuLD8cuGs5Z/
Fci5rBJPDFuzy7wRXsDMNuerklfftGZxwpErH1sXpmblY0g20tq7QJ9AFFv/1cxr1MKdUcJzP1BG
+z2hz3DmML6aQQys+9gppsbKSz6hnvxBpfQNZccDiOjus1jsFxeJWkd2yKHtmu9CFc2O0FkSCqCw
VTdMfrHaIciLa9InV+027wsped6yueFSshgyxGqyN04jXtlgEnY4Z644lXP7sg7iiGIocM05xRpZ
l4ED62ZHVBZVoF5YZHkT454K1mFiGcfN7M6ltI9Tvl7tjun3iofmmVGXfRy8hazuMUGP3G4ZzeQ0
5T/ddu33hpvkdxCHixfyl9SrU9MxNlvGKLxqxOF/bQ3BufAdY6ygY/JlpKl9RwtsQhZLigOupOHt
H3rG/2k4x/9PJG3nlsn5fzeC/Ef9J+2//u2x//rzPaT/px8E9waf+U86B74OEBTs3Zx/5Nn9JzoH
0YgAqlEzehhGHMSA/zSDCP/foft4LoIjlyIR9eE/2RzC+ndlEfLp8+WwV/z30uz+ix/r9lcI9I0+
8ng0jv+qIcYGYsyCzJB9PyV6eEknz3vdXMjUodP46sGm4BtCEGMAvnD57W1zzNmvJM7/QwprWe6/
Anr4ZyBd8F3pIPlHYvwvbhHTmVVmrL4VNWIY3gsPH1qs/Pg0J5XFYCYj9loRp4XmCL7pErSktnuo
QpDkLc6RP8r2BmNKbMUpwNu0JQiBcHH4D4rYoyqJgSGNa3zarAFvtu9P9ymqJUb4eBwjuzOsp3To
2fth/AWUWvWBwUiGgO2kRNDQEzqPNHyNaszFQWpOuLRg4Fn7kfiFKKcrvyiEJ5jbLWa1OR9PmiSu
/1Mfq+WLUG8iq3L7vsrAWuEfZje+0bR8mY5Z3sE8jfvd2JUTnZnZ4TEcg4z+6hcAwu2PQLJHkrLp
H8im4f4qNFkpZYEvnKV81uwS3fwaXW84QZTtH1J7FGezEVaoUlDYKG3Gx0TJmKGgtUZmLs8ly6gl
MxiGTip5W3Exd7vcJhqE+GX1IYhnCRplWm+pZsA9tQUx7bWMmVNLi51WYuz5EJOtTqzCRqf9cUCf
fk0MqU9A0AklXst9vSak2NvddCE6BakeApOopUCI3KmzSAHiCNqvLqr1eLRXMNFqfHXwmRBjfjOW
gKJ4KWvtfLCgiaOeDU0ke9M8tjjU+da6R/h0bHyUoe8IcspfJ70YP7Tu5n3u9PGRdbm56xsri7oG
IJrc+vlPV+UsmKuifrIrj0jRWBnTnQZBe84SaYcCGPyw0Dem3RE468XrQO4li4Ed2XQf2OjD6zAL
li8b2aBWVVtoYBGouwShHQriYeBhqDa0U+LoVGqEdbxh4smraODmLqdMYUAHx+BOQx3qqs8Aithp
2I4EwbVFMX6wlB45jBnnbUkyMkw3jF/u1oHNnOv1vnLQnPma5ynjsdrbIHKiVg7V7f/Un6RHdqmX
NgEAaFi362he7xJb30zvjXgyFykep2peHszW2Lji5yXUxEEwCa8fstvaCRrIdmjRcz+VpaMOZWlv
T/YY51G3wQKvCJcMZrVlj1TxTEUYqUXSyhDMM/VGOoL/10lJq+shzgUzhPxjo9v2vQSRwW+TlrAG
XhwB3/0rCR+JhPar19hmS+muvUvFzVef0k4d58Xfrgt+oRPAG+9Q14kVSQg8LIsrF7W64fu4aEzy
EgnuDntCbY49UJmoSFZzObgwoIn583pnP0lnJrFDKd61oVA3MLQr8e+s1TGnijivKT3PJBf1kA3w
dmeWF2Y93C/tth38ubnJmW2U8di8Q3tW4i7x0gefQybCGvKA5Z7WSKNSMGt2LEJmv+m20r9VslBz
oqwOhL/F11Vo82FzZfeRcOof5VSqcz/P7V3NQua01bPDve2qB7pHM+gmJ35Oalt+Wa2XnVWO02jU
0/S7t8vumZPZoxpr+p9WR0stAIcGPmkZadCiXAMlYyeqOHk2aco8/BQ97jStB2djBRymSV6t1Gvd
tI/TgskEMoYWZZypa7A31A0ToT1hCmJ4j0gKlm7jwUoggi4NRN27Y2h1pmQVPc1yZESoFaVN/C6x
Jz2Aymu2wHL8hj1Feou3hC83Op+V8KYnw2rwclvm0L8PrLCDggnNgxr7iqQahRhZpuRR9c56wGdc
n/VapZ+tIGsh8BJKTYIl4TDD9SQuinw6ZgFMXuU1bQvn7Np2bEey9b9X6rQE+03dRRom2dkrB+fD
zvybwLepbOyFksmn56pDTRW5AUP0278ZaICWhJ9+/OsOAIngr48fFdKsY6uahzo1fnSLHlCxmAJD
v2LmVmfVxiJGYCTE5AP+2tzsz9ItFAVWmjQfdtWXJz9f+QtMDSVEU5bD5ERUZcW6DMHP4n8au7h8
FKlGaw8kwF5OKl9n/0q2pCi+2aMM07PIK/uFlkAu+7E12q+BV+Erjq36vSlTA7OUQqwQ4wnnFWJj
x9u76beW4DeDSyq235N5/ihYbl1Wj1UgwsOV0GylN7riMQPMnElNkvzt+U/aXj7Xi3cDsNTE8CzZ
qv6K1XKeuQoH76TdvMyfxmGAnoP862XqO0oCMcFSkmgonHsGmt1faAMI1NPMVT9q5GWEJ3vriRm1
c8DPpi74MbxveBoCaTggwiNkQQSKub2guGAj/2KlrMLrmz2zKAjZmQUzaHswOvWMcbP7hAXQPduc
1i8sijtyM4x5n8DuZ4RfpJ5iT+UtdxIW3pHJVhK5zGn32o5dAIzafR+Y5XoPA/rQ/DwXz4Y/k5QB
k5rpb5Eg9IPXHaDw6cwfjd9nn9rJgUP1bcZQpyoTggoJtHF+klna1Q/5hqAgGrN6y3co2s2oFDeV
B122eBJoVzluDSZe2tEfZd+KNwIj5QuKpursi8HZWxKUbIwX8K2GBYSCHALKTs18CWotnROJ1LM2
WJicdg04K+HaXkCVZqBItpqDQI4Z1Hprvt1ssfbejOotsEhMf+tJ3srDIgfuCvavWO7XorLGCBMv
A/gtneGBJBXugVzoKYSgdYqHZvmVuqjqGgbMPxJ0Q3euTKqAjoDxGhy2AEGNFWwz92dFz2KgnT0x
CNkepvG2fev8gaWtSWzVnHiHZcnxDNdVUQ1kWcXNuFyQmpMityv1ZKGcXDZ9Hpo8PVPONCSmCyLW
KBvUqz1MKfjSlvv9QFMtHouuZAeAAXJXbDS6Qd7L/pnP2jv5mh366WZIqpw6VKXpXnQyrFHaYCgN
66EfPloga/R5zsogxhr3cQFlxYGstq87JlmNcEuY11vyMLMY2482z6id9t5VGTcrZtJDWKP/sr9T
87T09Ycyp6/YcVFBFmfL/ehnLa2AtBEmqosx/KK+bPajcEhGqFGC/jDStXsse7SXsohL0Ie4WO8b
g8vysJqTysOh8A+eUeRhQmrYIY8d+5gzGjmgmvVCUbOrvG8yDlu47gA6J/ZrS2yK9ZE1uIVmCtwT
AWbV/Jg6qYFhmqDkS4YU63WeYvZkpWkeWI+Wp3xwcpQAqRwiRozr98yw1Q2SBuWSNxINV7OpzUI/
H1yJX0KqNmBu3lRRU3n4dBeCAPKYkXPPVTvf9gfesGRInVs9MGOskqOzaPu0NX27V2wfr7U7mffg
9DqL+rZ4X5pUWmc2HKCUtHDjo89gsjzm0FpuXlCm7GJzjnzLOlCsuo4oZ8WvaUjko62tgbqaAMwX
TpvU4cGdpjZMF0BLPSTqao7nc5H42BG8PbF2BKGyqTkkcU0b7jgDHgFoG0CGxuEwq9E4e3n+BTXW
f0ASnOKb2Kzye6rdBNCM53D7jxhu+sWme5jWeA3ZhNZ3Ljpp5Dyz+c72wH/kgkPOZGqwckz2ERhY
0x4/G8/E0sR/iZcso0JI92FxspuawAVW3mhXcIq2xruh0Bni0InR4PsgeA8MfxlhsmV5xg9k33ZR
lrzvY9MPMn9bvpy8JIeMU/xgJQaeptGhLCNSj/ix4bu3SZBT0LHYeDDEVU5CaKWzCRaRGnUWRUGm
5UXyG4rytXCjmZUWthlo1oqLBrl2R1JmFrtgnsv0XUz9fWepcT8UzXDAZQ2wdaC5ud40PhdV9C4H
iVVOx4YeI/RZXZ7QGK9P9sJmyS5r7B7lm7Kqb+zoD7h/cFmItAi6pTD3SJD1yciIyegRaTeuO+yU
GLeHsusq4EP99NBQfe1ATifXdCvSI5MYfXbFr4JFzziONj6RIjCTZT1Kw07ppdgFr+la7QUXEjFn
//B3AHU7qmxawXbrXZOelsyBn6KuPViyYsvUXeIm4oKAtYcxLDWbkdZpw1LMBiUjmYC6S8RumPUr
O0KK6DppYCWuLatOsOEonounZKWijXt21N442U82UPfzbLZzNArGwq4BXJD9T36ZVnDIO9n0ghIU
LxqPoRMQUllGBgw5NNLLMS6VOrDyPCNPQpmpbzu1g+nOPNNroGsHKQvK1nNciTzorXy59HAzQ3Iu
GfBsDXlqAmzyPme5j3oW9U9QFb0dgp883uI9O5MaYrNnLwBojB5GkYsRbxXnH6yid/hzjYG5YTWi
ZkgBXied/2E6rX0AcyV+IFa1A79LynO7bFMoDJHclQiDIkf7M3uM3PrpSU/+YJjXPlMB5ye26ygt
6/imUW2NZzFPznOxdQVnpYODn91leu1xUJAz022RSdH2GwMVLbRoCcayx+aPxOGErH+8Ll1+wWQI
at6Mf5kLd59cgw2BCeYQ47XLJ+NirbPatZpoIMK9XaC1k3+nlfZfvDgfwzoh25XUlzqc3VpGgxQe
u/32Sp4FViZsdQphayptukizes7npaBOqPsvoWo7JIgiDmxa/BMAuONSbMbZlPAKa6HH+9tI++z6
xbPTpIFDLsXOsvv7xvrRmcvdVJiILLy9NapPgqYfajQyxyJdXsij3aPMfobvdSRP43YtESgSE34S
UBr+6BP/g8Tu0AJp1zPYCMq+6NjN1+lzvkzVkTUlB7uW9dUutMVzjBDY94DRO2kFzcHeLsiXjch1
vPJYFd7BXomvLPKU3FOT9F89lsmBYOqXG1Bx561A7a2SBm+bja7g4WjUyUTNcdzSqvgtrby5FshX
tyDTtQrziTPSMo0ja0gZOmNpHgjSjlGDuPHl5n6MjFvurs9OGK1Nl7vXLGGj6C1uiMVnPvVlUR4y
9ySm9ELa53GTFTGgInPeUIKPV9N25VuWoyvb9TgDI8cCrX0oYIMpMj5XIJtePjn7DW33u6FJ1fQk
LcqmsCRWm99e0sacX1q3eiwcE8Wsw8fPii1nfh6r7rte4JZVxWoQS+ahsOWAP5st6jNUJXtGTO2J
zHJSnxiph1bRr3ebJWbWKJb5W/L9sRuaYKu69WJ/kJ3Rnebc8x6XCQp9bM4ChgMaz6RkRdQt5p7p
MQat2OTMaz4kCWHPc8xCZGct/vpUYeW1kK+pfj+SbX3QWX1zJZj86BExoNbUfqRRbKFrY+WLOoT0
iFYR8rEisYQTD+r1ZmcR37a0092wuWfff1nIhM5S+Qgj7wRy+xfZwN9r0gMvM9uGQtzqkO85KumO
g0BKw7VpBNopkRVYBrx+o9L3UzELumwjO3JzHQvhHIU7sNyaQ81IGFUFQaJewwvlkvoyxt9KAxaq
Hf8wuNvRMcTFYRG5o9bad/P8OVkaitQiZXHquA5eemGu9zJOPydpbXDEjXeZ+c5DlS/jl+FIoAeo
GeuCssWlgTjJjm6MEsV4WXx510hMEznyPLdp1bWDxbhDcP7BAZ7slNk57xJlDEN+tYYIq98rV8FB
IeAi2EhWooYO+rYI1mb8nszBAuy5MLB3ES6jq2f0X6m/BeBWlWanClZJqqvXTjF2LxxkeN2c7Dou
8H0Vw09DoVzW64fRAtXwVqOISIEnCq3EsvVCkz1Axc7u8picJl+Mj7ovKfVklj6mg3zLG38N3IWl
O8xe6kWgenswL9NODtl+6chysTOrZJQn7PuFZXnosSzAUJYD2gSHYw3gYvum6QNHzCSJXQ3fvLQ6
y3gd65cpByM/1+fYHxA4kyKlNn/pSUed0OE3onpNumb5QJZJ5uaAN4uGY1e1yxG8BnlOLazOqFzW
5pSNCLgMBDwnQ6TWsUDz+thtc/IzIfsHIZD8ouV/JW4m0I9Wu5tE98dlzvWqM9o/dHHxKWUydCOt
Xknko6FWirSNBbKLTWoyvcn0kFSMW6apad+lyLdjkbPKwlbtyUi0sPDqce7Drl3bq+UyMaNtiPdI
kdTLluosiM1tuWvgFjPLtFR3Uiqfwh5TTFj7y9W4GS58nS/8oszk0FpxFrmWu/o7BE/Z2+ws9j3P
WWQRNr8qfKt5jDMb3SJTr9OWI2fjc4ePYbCNEw7pLGqkuYb8ne5vhPXQRXwkMXH+ggQ5Pbh4FA69
3xbvBkDhsHP6x4l8m12e4XHDjBaHSIwRdXHPUyfPBsNXLGdW2T4rc55RxM3Rurk2qm+jq09A+3DM
a/3pNDMbeU7xk8Jnc1eaFg4ykhQYEeMGvAXL8zs76kV6Vzdp2VczF2rdEE1GEcaSIVRaE8XAS/HH
ZdS1G1CePNYqX56wxnciLG7zcFAJmkkqCVkWvgqkLsV18Jr6XEvAftGQ5cg5jHggQDteFxbuWKx+
9rkeD2MhnX1DpUlBVUxhhV46zDazJ+HLZU3GubCWAs2cO5McqNZL7eTGe0yIFPkZtB7RYAjx6jsO
5kzLKwAIlE2VX5eBksyNW3FEU2FeWK/VPJ11ha5iWZV77+LZvcTJ0B35FBmZVjZe6eWt94xE7BPr
4e7vkLaUjrE9XHVPw1Qb0nzCPZg8GKqRhy4lzgLTCQWQUKRyJdnEzQtOzbmy8Q17ij8pfPJ8cqYU
V793rJepspJzuVrWKwd//TApmR5mlDf1zuyxYv5v8s5kR3JjzdKv0qh1U+BgxgGo6oXPQwzuMWdu
iMiISJLGeTby6eujVN19U0Lr4gK9aTSkjSBluNzDacP5z/mODTen3mmT0mpSYxWT47iu2PoYaE6i
Zsgn6x4lrJzs+N13WS9WCb6SZ9vyb/sASo83jcVF1SVBeS2+QuhiP0zHKmOSIU74GWZJ/sQx5JsK
qN6q0+Zq9+2TDXh7MyyCVz+Ph26eql3K2fmstcnXVSJ8+W4xHLRBdUIlE+/gV0Ktqyg0t0MJZzhC
HsRwls4Xsx8I/ZpZly3MB2Sz1O54tAQCndtzpcAsRhVndedjDF/TGeftu7h7HibA5qbdvCZWXa+b
JC/2qS3duxlk9MNktPV3ES21jGbojXtH9qJe94JCeMA2e0z6T3EcBEf8kBx3elpN/f7MeF+x4Gl1
mmzvZ8Lxf+WQtt+kSFCsBJq81tD7wZOV0ZFHyC7VhIpgKIGZvfTefHEjN7jGHoN7IHjVruzsjyL2
+TLCWL/VOWfjBtscrrzJeB8g/2zDMvgedJZ/IOJL2Fn6Yj3hOGDxwEPLiChTRz3Y1oFdl6uxfUo4
NT2rzIIHYPH1w/6FeVv79NpkLtmSJrt2iQu4lcHUDivbjcVBvfWJqDozquR2wJBzBOdgUMCkA0QM
8RRXLi+X5oxXmpSycgzIm95WSPgNbz6r1p3l3Btzbd5YgEMwEkt1snycC1aaBihDbnruCv1g2Q0P
Z0PJlIep7WSHweOkO3GOi+LR5CFamZKWbhBEW91lT2Wm7kCKmkzRK3AxtMNaqzm1PHqD+tk8EP/s
djYnHNZCpFHy0ZiOIkitKewkDHwLNaGh42WCy8YDxIJsBU31DN7b/Sylh2pZxgGh5gbWAFXRx5Kv
IUWoFbP6aU5BkrMs3nZxG16aeZ5PE8zKW/LI2Tqt1LOM3KsLFmDXi+AdM/o5o3WUQkNvL2TLUXBy
rgHnonMS9+umJs2WNy9Ubr/JoURobSt6m0qq19IrnIF4Qy9Q8NhIh7iQAVDWMcvmXNNitRkiN36R
4FxJbI0caXQLUaPxN7gBvU0dV6CP/YUj3AXEBa6aWdPtkts9KZ6191yHeOEzr+LY3TVoL73kCYgK
eWP1NnMxym7NrU8uBw+TT8l9c7QIBZHdkHOy9ydGgn3CaQEi18R2kme4UE0pTCRHF1NrnQf8Gv3c
fsFFC1zW6yt59Ok4/GGhNfD89HZ5ww9VJxxJzzil9wiE9q5kfbuFNKe8tUHn6ceccjBjPxyvyQi3
ml4xihGCpjPfKCgznrj3OzczX+UXXWTDWqOxw2bv4/aedQGsZQRX5Lurg+Ej9jrudYgGwcBQKE3l
fG4LmDKot6J/kV1Lls7QSw0iRZ0LIAVmBS4cNa3mLuGYmVVO8JRZbnuMdUl1fN6Yw7fR9ORzH1vU
6GQeOlWBa6lAyRT0GDJ6y+4j6RsFeWqNG4Oq1RGasJ+Iag0rMHmmXr05Mo7iGEc9b7LjRi2wVtE0
RIKvIlDg2bjmAuJFb8orPmKMJ3j5uw+u5QaOzqRUG7O2PzIOfAzcZgSrFbWx/rHtTf882LiomP/x
Fw62or2d3DLmSGnKt0KlPEv8a7O9NRy3/eFAuPXWrR2WIHkH+ak4kO/mQbhHP4xov8uQVvGq49kY
mAk3ZHd2VZLJaw+Hk6fdW9yxtcdvr49d52AYYcP8iWIJ5TP2QekqKFpz6NqMZL8rOg0NAcPYgXzn
g6uhXmAFtoq1wnW3ViFp9M5w9SPKWryD8UOyimQXZaAEJMiuuYAuplnBOfJcDaoV8s6Psqy7AcAA
xpHWyDBldphjgJvmB09nzn02GikRkZBa0xU2MjI3NDcNBLYBMFLy2egEIouxr3Fgr3GHvRdYQIld
hOrCF7/ezkbQHwE+2Pf4V96DdqmTSjjTrvpx+Caqrl+3Iqrxps8XXHv4w6o8WPXm3IODsae12+Uz
Idy3KqEWAMutY2NxTrySP19bzxE8FvK3zT5IcD8WA1lCHZXNtlcYD7W2IAVnDUlgya3Dm5sDt8B4
t3iUHyjoYK3v3e86pMNjCxS6hm4wNLeKltytRgJ7oFMvzfAGSfHEsGkm4q3CK6j8ZEeqSH8LO+sr
mxEd0iAU90XT5C9Fwt4BRNrE6hUk136EvT5Il5xiE9RxsmKK4s5rNYfBOUGW5NaRKuAJvdk9ECbI
czLiWNDXuW1iTg1AjnAtFdYGiyT3NDDj4ezoRz2l1iGR/bAXOuCCVi5TteQ4iZLRqTN422Wn9rh4
bD2iw+sKQwBhsNrEcFQtKWEqP0Q3kAEhqbpRyThsS1k9cTPjlNKJZu+T2b9Vo6JvYSIdOKX2d+Zv
4ZmDCC59TpPrvOZCMyW5e5a4WdeDUtkWh/ZwS+xZvnrGvM0jc9zRbj4d2q7zDgDbm3M1W8ku7Vvz
IR7tYc+QAZmzq8YK7Waq6j31WOFjPGj3DrmSt6IYCno11RyMpq0Ln6rgfCCmCjwBzimmawUU9Bkc
xDquyArTTeT9nKaC7namL9wBmbppaIwBWXQx8+1BS32KIOneO311MRavMWreba079ygyT0F6d2VJ
HiRCjKtNmuUI/wwEVyorXVPU/BOwIMm70WWk4pVO/5lhHcA+n4UHJ8p4vbKt7L3FQeEsTH3I8ql7
x0oIFCIYDEJgkSySF36/3ye7VnuNiMDWxVx9FVFtxpwk3LiqfTOFivexSLD0j1QfNCuBTIe4w/zO
3AiBdW41O727HVOXkWJjDedpBqy09NV96yZnulA/jkYAmGOFnXtpSS3PXiHJ81UugfoVM3PO//UU
Jw9d7dfIxap1cI+zQneleWHWsEtGvr+5nJ4tUkqfs5EnT23QeJ9M4IIb2VunpFcOYMmGIsSVTzqi
YC20SA5oo3wzGMjel1bdrGRR0DmvLGNjgtL5PgaKdL0Oh9TG8ukiBXNm+EAD5eZh1859BKJtizEI
GINfADRyHH2EWhUAGdPCPEc55Q1adQyYDFlvi874Fja6+R4Qn3QJlA2E6BuP3WZQUn2EiJVcE8RI
OobqgAOeHRKBZV+/Igx9S+L5x6iDjG3cbZ4dO86OSS3pRWQ7Td4s7p+v3QQjgFXInA5jwzmduwZh
UGUuHCvuLJsoSIjTpLq4Uuo7E0D03fsOhNfWph/7MBMYJ8vi0CZggYIRu6IiDohxV4XkqsfOWE8Z
+KHlgpMiS+xmr7ky8QJgkJSQDmAL6ANh0IBRhuHvjVrb11KYw41nMHntWI8eMHkY6xmlf8OhXV8y
GYmD3XXRW9wVznOddhBIDVwrTHtoYICWAoqjX/RxI22sOyIt6E5mk/sMvCCoj026KROJmQgg37BN
igmhHT48GGl6auh9s2/MPivWXWFj8ilm1642pe+pDYxDwk1e+1NZSUccOsQw3CrsDE1Kb7btWE8e
2v46Ma1g77Kagpec8hsjsy9yKCi/gam1skmn3U1NTdAq0frHQFMrQR1/9K+C4XfDFQkahUmo4oEh
bfAILlNfGGC7P2w/Ls7GBG9EFOZwUo03YRyNsp6KxNin+Jgp4+R0bziIHVJA9HbQq6Rp16R8Yc9W
it8lmfr73s4JnLvpjebMdQBoTvBx9F8omIzBiWHrpQJUq+cav85lHLTUKyqB1IuuZ2YEhj9jbkqG
ak1L9i3V1MWaRnHiHvnkHds43UPNIqeVJ8iRoe+fFBWfVZjmm97JfYphpuKIlkH8mWQeT4QeT+Bx
5+usGvTNxvPydehP5ltYNLg+HMd5NVznATLMc6Cr8UKLSbGhMDZFEAJxR39lvMm1usbMCRPcUAfo
tTw/QTBB2K1QXjNd3KUlRvGiSY8Ox9krmFl0Ay5RNyQ9cKlyeXJuKy8oD+h+H35bPQlzOkdg6TiJ
yVNR5wxtTD/qDyrU5lvc1N6uzfIA0pXIn62e9lSqsEZ1LFRxskq3P6MJ4AkRkiJ4y67pV+SD8lvS
2VyTKVNuGFRjXHXbZUk36nXtAk2I6kgdbCPB1rHEOHKzpg+aiDYxvH6i9qOKloSBMLMry/RA3EVQ
Cs7OUe6YSZrn3h6+qsZC62kjeaDwFWmP3HR1x7ol1/i/phN+AsF0OtJPQxdpSoXC8bAkKB6wWGbb
mQzbfRRYxUPN4eJhBJVHDi+vvsHXVzFxND2cdW626ziw/J+udsKXoSUzEYO7zFGkwzrlyZ/re8ZL
wWtBTJVG1RLVIIYtmRLA2ErSakc1yvKYx559tRI3uXOKFqF8jpcI2eh0F7SB+CMbmSeD4SngGyBE
Ynew3PPktuLNSkfNeja3qIb0iPXzFDTrKdUZvq2EeYIUwUcdBuLEQSX6QCTkDKEWKcqp1TXhEg7l
punlye/eFino1QxxZa2C0uy+Udhqv6BuJN/wp833aBsUKwdEweYmUF+xIawHOluYHIRl9hSqMN4y
FuB6D7gFZGflPUrTMmnWreUaTlH8MESMz6FS9dmpi1X6s7Sc4bFge2UwQzsDKQJJprTC5Z93SmwN
FYannoDurm7Za7g8F+aF5vDxGzKLe8vIKtv65L1TvvKivWdiIB7zngs4VaHpY1oaP1Tb+Du3Yf/s
s/AUR7plnCOb+6jW1jvNAMiKKc8MKaGOUJ6XGBiDmhyLzUyOL1XGCnlmeCCmxAHQHvtmkxXgoeYG
IQOM9UgOzrZ+2soPzzh0qmJVGT151glwz8XlcLBjGAe9hxTHfmxqekwIomquzqgFTKPsh7FswwcV
BOU2wgjwVITJI7srZx7JXZrt1zk0OZhmCr7Sc5tmmiYYwGxTVzF4MjJCEzbHWqJwffoaqGpCjMbT
/zYIGB2rIFMjsgP69oyvhiUqMdKdZzri3Nr0KxZV4tJZyvSu7XJnTZ0cczxVs10x63tEDesOUpIs
HOdFe6/Mvv2JuWZa+2UkH2di+cdh6jPYeSSfuHQFpyodXTQNJjE8quDtRE6Of2g9dIXJpTIUW17C
15IJNnmYIemu+Wx1OOO6YdcHob/DTcaZM0qwyjO6eWwHXXFjbqkCEVCd161PDRiXysn/SdGtZKeY
i+c05jNwRevskswtj+UwhneN6pt7opHpKV4ADNGMUXBFCsHnI7e+WHCM2yGc2m7rZoYPQC7LWIP+
O14xpZSdTTt4NJI4tF9+yboMQYSE2besmyJGKFiGn92M+YfEfXUZilB9p31nuJMOQxd0Wsyw6QBt
MBaq+KNl4v9jIzy+dfi4f2OEb9v3/B/973/8gT/874H7m2k5NlsCzm7XCxZn/PjVdv/xb37wG654
fraLL1dQzcG/+S//u+39RkuBJIfm8oct38Ea/18OeFv8ZlF0GQBL86QEQm79K2UIrrVg7P83INkH
J2xizreQhQNP8Fp/Iv2WsTeasdHCWY1n6lFMbcTWtodtDpSuxGjJYzRnFz8JY2CzGPmLNbaEjltq
p/BpxJ03tOiUptdsZuxfO3hzs1w5uexLFNw+TPBuC4zfZJm3tmWJr8laDIoGu/hJyIw+9AgtYy2C
ITlC2twqOoUutM7b1wBV6S5ieMrl0ihutB0kRxKrzKRt8eiLql3zCU57s7KaTYmJ7Bafz671K2J4
1KVL1zmBJFp7Vd9v5mac11jzoMovC9Lc+OXOQ0DeiLTHbSsxV5R1cBuSwr0bjDbaizn+XlhJcp7s
DLsg1iYMkG2wA6TwyUJKIdjQfuAC83G6QGHuWkmptw6nIz6k7jqDu4BNB6Y+IIADy9IiYmZ1756m
A8X0zGan+oroZcBr+on7FQ6eddfV+nPuGQybeuJ4oIw7tybRouYf3MOPRuRsujx81bVz5nZ8Q5R9
0039KRdgjCk/g6ZHKbMofZBr2vnMsmrfCozyqTuBbpjKtT06T1GAWIwgPm9litUI+FXJTFC9Au7R
287z3lxlLk2BIEC8zdiOzTrpdb0Notrf+L0xnAms0hlVW6c8LycMj2KPU5xLR9Zd0qZiEDnrNqe/
iKE4fLwfdMH9ji4xr7Pj2kS9JK6yRvTfc4powFq6Q/RhhzDSYqanl7R3WFCtUXw0DcSUrK/9+zyP
vDOW5elnE3TgCwXpbW6tYONwGI03lIffm1aV/BTNiD1gqpyVtYDIYIOxXCZZ91mlYJlYPB+sOjil
GKGoG7bYIWejce45rIcstf4lLT3ij+784MflNaVh2IhG7zLT+3uUoIHOSd0tJURpaF9wStNUKKeP
TCq9843se07ZwW3ruUfDzmaTSG6bPngeSEoPJ9JZmz7CnYuPS1Uj80RnXsMmms5d6t1bhpAPXdS2
1g15VLi/i5mj3hSTkTCiFfRo7bqcs/8aMFWEGSLICHeqgTe7gV3Ec6fcnp2dUUeebcUc5swnEkUh
qWEo+6EBAI8W5OQt05YEtNwmc2fTXPdDjYRXocVF29aDtYe9Jk5cFLoy9DZhFpIPpLiKK3xvFFRj
FlHDFMwQSd4deiuounVsLxXmKhVJ9YrLrwFOYRR+N2/S3F9uZGbpr+2ByOGdjLlCEyzAiHAO6zgb
dz6+KmsVoT35jB/BTB1TmRnlzypN5oDXZVK0g2OWgV9AkXY5oIQU6xHNANtLLS3qYDSYstzHjjsR
hJVIHNsO8SkGNUjV6mdpD3GOUcYnOmDB6cesWQfyu2lH02sx8sQEnUK/jxp/2qgQ6uqKuElMYxQY
UxxNg4H+xNGSuJ8sM5I+HKf4sLzUwMwhtj3/G8+pMnlCOkbudsJoL1VF/tgSZPgaQ+LX2BdIZOBV
Saz04paKimmK/wp/S6FaG92BtOO3jyYU76NBY1218W5ma9P1Z4dkJzfgfd6Tuz9iOeyyj7ox+mQX
eCm2Fjv3KakSg8WRKPBI7uk+fgiK2dwyxeEF+yrdMA8feKNV7PXHKdRwT2rGsFk5n1zDtr+nbhLf
FiRj3kfS5oBDY13f9iVU4FXsz+qYa85bPqqsjFuButQ+qc57ijv95lP2uGkLkEq+HGsmbXF2dZTF
spdEJEaKonsUnlfuhqH1v0V2zdnS6cT83aK2ZQRFs8Tfi5fQaOjXKjZGqwb09KE7u/zcZuV2piXB
POtxyG+6ZkidfWCEfKK46BYz4GhwHUIQvp+azNoasQ77fTQCbtmUHnOQrV0U2Xhm1X4ZOqG9nRvX
3SMtdZnzQIvoEO4yz2OgQWyEI2VBCd7EPEE/yAw74iETxDgGUBCEbzwr/mTgb8kVgUVKX/1GJE8N
9IgBBPDcNacZVxC66pC0sGKieGUl6XTgWvNDI7XC4+e7bEHBc+EORdW8A3uJ0U235PW7KbkXBtPN
wdH61nf66wTB7hjGrrr63Ji4lHJONGbTQ1vL9LeWseG1MkxqhgcyW0/tnE3XKWzy7DIEZfmjoInu
0MPGOoZD7sGd6/383aWz9GogfjFJ6IJ73eXw3rDx+T8izruvGXH3msiKJJnTOH1IPLZz/J9+Ntc3
1dSPP8Gwjz0mTYgMT9jSOcx6Bo5623Epc/HAf2c/k6V7hZxXbN6ldEY+lKXlvuZk5/fJkNgecFec
AjcW7nhWBTCwBryFpzKqaQFroTd8wXAufw44st/I8GN7rQWNZ67MseEi7Szlz+BF7o2S0WeUtUZ+
i11APOEIrPObotI+RAarFC7Db2NQ28CM/TevjIA6qTbQe0VRin1yrVR8luSLoWnScmeWRXZTJGh+
KLOh95w1lvw+9+wgkNtYJL18it7cwWDWri3y1NmU4c4gc7bxbc89hIjiWyuSFpZCuzsOwk4H7Iko
GbIfTYM1omzSnY+cXuPpm2BQG8HcPuvYMu7QQVA9ddSiM7lRNmPeMrDZL6OhYmSVrLNp1ZgE65gf
TNk2poPg1Ha6t3ez47Ty2qghe8vbiC9dGUXOYqQcQgc4SIDJPyjgKDKx6TuKdRPbaLiBmOx/dcQE
/YqSa0z30mUocTVAIqFlloo7DC0zkONax5uqTcUVKgJAlUUpDIJ0dChb4pa+j5pARjdJYbjTeijG
4WrhQYlOlBZI82ZUamaCHmAHQJooH8D1VySPlDEBhaoTWb2E+PA15nW8HgrdNSAyUaQ88hC/AkzY
ZGFScp/7sauDJ0Cr7lVxckE1CVn3XTxEB0PMziGQYNoqO7EP7Gf5PchIrFvkV/aEyBgJkhdnZKva
+aYNBRS/ginJOcEqXVM2UKNfKgDDHxoiQoH/AqBQ75h37TQye23CB5MHft20SbjtXETSNquGN9/q
63O+kA1UW3frFKogE+jKjZ6EjAhxcbop+A2XmGwmH4wACoWf7mk5U8GBkaPPrxVYtLMmgC26i41T
/d7HfI7NNHaexdjpmhYHAyhN6aYsy3nnuimGMJUfDT90nidrgJlaTpNH/frU94/aUSNIq8nnhmjP
0SfbHItl2IxIesMIQ+2QJSbwGu4f75WVB+cJgekyi/JS04Oxb7GHrLKgol6ymOUNRnZ/U/TyXANK
3RZ29xS5SQowuQjPIw7rdzYM9Rh5dvZZ9dST1Wlt1TuAgCnelCakFld49WcEIGZVljI8Rpk5HrIh
Z4OiK95jTJw0CqB0Sy69drxFA8KvB0lEc2y/lTFxvRZqWkACnHRFih91XXdT+VG100dXG2hu8Dnz
hY4Br5BxYoaFH3EKvt4/XM4uf9xt/hsYskuZFF37H//2a/PMX288SwfJP1TCOLgdzZLkxlGUGTw3
R7bNifpK9fSvv4wv6LMTtgueQf4p0jvMeQFJyBiPniaHjkQeqXU91cL7J29naQX69QK3/H4twSCX
GyH3uV/fjhUYdoddoT/OfdG/q2WHd7uZG0E0+RTAaSNNvrIBrYQZWm77/+TV7V8bW5ZPk4w2BWki
oGAscP/8NpMxSukOcLqjaJJqh2+je7R96mzJ1M58Sdvs6tdYjFLChd/SqUTm4DQxmMHTzOlC/H7M
sCIG6IvQ43Lun/VFe2V5dJ0aWcU0I1qU1dyhChtjkt23TcNSVXozQAD6vRnaBDd//3v76xviJmzS
ecU7o11K/qmFacaN6mUlrLU5aVs8ETAIK6ZZyUi3hjsE7PFR5jvHf/VFHdM1hWX5nExdz/zTd7Ih
eygGFBpeNJpvHM/hLN2hHUanxJvq979/seVK/+s3hhezzIA3yE8SYpEE/uEBiMCpFpmfd8dxpgFc
NvanTo0dJbHdP3lXf33SMJxzDPEl5j1BZ9qvL0TWiqKiOimOCTa07p56h5CNs7Bkf/j7d2T99Zfm
yEBwi+SYaGM8/tMvLUppNpazzI6dQGyOwVdugGLE0Q3qh9NTmOzY7T5AXgzY8sb2Ph17R1wI50H9
4MjX/376gz/K7Kjpwxlk03I+bH4/K/79/+pfPhOITXy1KGK1+Fjkn6v4IkNEcMD9hAKE2PSOld93
F11qLkv/8us4PPZSBouSRNHXr5+9W8dtDTQTKlrIZWDTMHVONlEIyeb31/m/LffdMkGjsOxn9+/L
T/4oq6kh4dX9j3//5Z/+H6Jj0ItlQnH4P6uCl75Q7z9+kQX/+CN/6IKe+9tSvwbCyXF9C9sMX+k/
dEHP+Y2iL4eCNld4wqW8+3/pgo79G1Id66wHUEC6S2vb/5QFg9+ksC2TPyg91wVT8K/IgqiTv6wR
nsDG5EqeigB/MH+LPz9QUcRdsbCLfd8P7aGx0v69oOMbd4cTXhz6kyBw4SnODFGe8aPGwF2K6Nho
X50Dk0hKz6rw4heT/AwaswCM4xm4xE2xsbEmn420iLegzLiFSBmeCFVDrtTzu9uLS0lmz+lpUnN1
fjaMbBHK6PPySuKIWCPuHLAI62HGmVCKz1AwOx1kfkpJe+/J/7HpOGaqd/QieOvJ9hPA9571nEmc
2azlcXZyZlHcgraZ7wvCRh+4UeBf+677Y0rs+MDrjfdVMBkgiAyGA5UrohfbpHi6MZiZiqlPaBMK
0+9gfTMke14VQ1qEyz7Jqs/BdIajYDD8KvKWbFixUB1cAhh1kV8r6szeqYzDu25N+XFsfHoiDd8H
BioxVRAFpLssLXV/iTOtD7jXi3MZjT0Zm1ZS7F7YzPE6ZXNOJPzRaP2YwEC9a2MxMl0Zyr2Rexdb
FMNzF5jRV50lzVvijoKkBo2MpekHl4S9eK2bstrSYpE8Diq3j4E9vShvqElbJtajk9by2PNZn5Eb
k5sh9ouXkbnpPqEaccVJjkUk4uBc1+p9rKvkLo79eMSahsK8IhE4PNJClt9BTv0KgQkz0UmxS/Vu
/eYmU7g2UD4+sL3+nNTkzxsv0K8x5Mg0lqe+Z8iYVJZ1pd3B3CY+5WPKG4M3gZn7xpoqcXbyxgG3
O2efIsULRZX7UieBg+duKhzjjsIfsu0m9dcflezrfQWN/kignMaMuBlPuSnCuzEDs+tlgskZe/HR
Kgz7tp68r7A5W/abo3hlRv/BIxfP8pThQtnMYeEx80de2c7RRO0mNoViXvFLgDDlluldEM/sLQDh
n218ifegPJt1JMr6lXnqdJdNHGMjE4r5ZNfYMJjSrx3CMZseV2SzAsAR3ObM68DplRUVYjG3u56Z
1ioz3J/9KPy7rve6bW3Xwc5FJAZWYGsS5yUsz8B7ZnBab4JU0jGWeIymgEs8BZDVdowms3eYHAhc
beLQfu4alFGA8tiqhuxcDUZ5NzO/Xuuph6Y7kbd0+9JER4QKHgGPuc1dwNDAF7x9psz8mM/efaGb
fU4YDk/jXN2GfiiwmJDG61yc4Lraz9FSfYGHB1jDNEAuHWm1lfG0twQyaiS1v6p6M71WjGJ3lQFI
MSXIIrit71yrcfdcMouzb5v+tzQhabyCNsHVM6nHB7eovlGP84MWmK2c25u28D4U1MXLHKb+oTIa
sXB1Qxaf5Sfmje9wzxyzdTU/jK148K0EA2dGx1UNj/IRMwwH/zEF+pBwXdRJ/unI8q5JZr0Fb4g7
uHeNh9Kt+teYK8vKtNJ536SueU9aosNBXFhnE8nvVHLZ2fZd5X11xK52bokXoelBjLK3w87kvPHo
kL3aCi1sFo9Ar9uBUplSlvOO7/HC2cVBzwG30q8RfosjYMB4m6WAqm3TK0+aHNPaSweCvlA8jykZ
S+i+QFeOLQjZfchZ5eJHs9xFngPWYbE3kvBdWgn5beNrJdE3F8HKMiguSIOapGZIbTFSD9HbXmJj
gEb0o1JWXPNflxPam2lhXuj0acEFvAJkmdcDBVk3XTAOJ7PWhCuy0T/EUFR+jLLozmMMVQ3QvvnA
Qw4oMlkwI9m4jFA1Q4dnqPqevQCpq21a6J6GIhH7dwBPfR8jru/s1KAgsodu9AkW4dkZa8J0BOCN
jHAFHwTyXOlt2DDk21DQQtyOd1PCOw/VGhWuWDfDJBk8+K56a6IcHx81qms1dd2uLJW/CZsMPq6y
JXzoJqaiJ+h5/rtJrtvESnDwSSxkHuFm7EK0QgRro+CMqgLvpldE7zC1RhCWxVnNoB65Az0W86DP
smTvxi8mukec7yCW+vEzxbNzGMulDjEcIMEnV+VQwMNoXgMdw8GStKbYdeU471HeKpIFrOAS69Za
h0697fN5gFXYXePBe1bAs6F78gPWVkrnfaVYNlZRmCt5GNyQSfgswrXZwV8DoLTvzHYGXxhO3xOQ
4A+mmw1nfjqj4eEQDtE34i5rnSVPXOPu7DwiJ0ezHMgHOD0dCofMQnKzuiXNapjqpMtUHD3l1uuQ
d/4q88D51qJEbJLaT4/sEhC0w+oRmHdD2RGUcVILw8jUJS6qN+hw1BS4U3ePqFadS8PrvvJAwCSQ
ZGzqYsL7m+bFrgUhBve6DR5aFxd/rvstGugbPpi7UOVn/DgzndDRLZAZm20WK1eICosXDRO0uWFY
EuJPN09GXWPwd9obR0NL0PZAe3RnMT5z9oQF9g1QbPBSmGhw1ufU/8zdsVk6QrRPLkuQsea/+rLa
iakDOAk+xay1m0cnGtFD/S9SbuNPLmDhHZ4w2shDaZ8lbvtiP4xJBwWqHLt3cmjNl5pNIJMa9cVK
42og+ITbakNT3/yUMxp5SrmGGJtgoVWsRyrDrtNgdpupIswJ8TcmhZqj1Sf2ZJJYh6CAexX9pi5a
/MvTuDftwtrMVKNs+hFy/UTm7tEghnvMceXnezeaMME7cbtkvNmkmZxhfYJAkPvGy5QQ5qlKjiiR
WX1lldZPFcr42mBmRVgBqs+K2GFwxaz6or3hUhYDyeAivuuSZuf2FHF0Tv+GAvTczHm7YpDkXOl+
KXdFQCsx215wW4R5nGwnM/PelMSnV3KsiGT6gQy2d0q6K9vk3BHkGcH7IDaSQV/ayoBwpAuOIRpY
MFq1LZWkU8esD6XsLxNh09SMP9jQXkY4Vq0Uexg1eNGiqN5FlkAoVHDO5DRb7LucwrD0kC/0CEzO
020FmwsEYg6vnBzTXUizWybh+xCYIAwaxKLHsktmjhndaK0YRzA2lqbzxPLr30xzS3qoGwxBU0FQ
HC2LU6eI78wyTSiuao1NMozOoZ5bE1qlPz2WKpt3AjfGxaKtVebqUzC45kst+nPPL3oN4OwWr2x5
MrBTrdrFtyhbG3x65QQYu3AiMpnXUADAVpeN8a4mtzpMdZbdYD9ki14A6B0spBW0Rk2reSxv2jG0
Lhy/65PvDfahKsfohIP9nBsa3L7S3gtZXX8JYP8nd2ey5LiRdtlXqRdAGeCAY9hyJiMYjHnIDSwy
BsyDO2Y8fR9UlXVJWfolq8W/6N7IJEtJJEEQ7v7de8+NbVDqBpHYtvXvtfLrSxBa1p4SsXc/x6Am
CcFsB1afFYU1R2Uk05rp56ty9buCC7VJROuQLlWUZ2Qp2EzLeJFJ4b+WDP23CcD0p9Kh8til5oiv
I+nWGGWMr9EA0MCO0r0bpikC0lSachUU0FZdleWHFrwNRwv3YA+ty0Utomvk9/rW81mkIga7dlt2
L3XcqmuZ+Pqtwme6yaRicq1dZSwta3Dxh6xBYlGae4dgC+SEcD1EwNtcLwvWs3TkvoYZ8oQMoe5M
FBASMiq8t3Vt35BKrI/swYZ7UhslgXUI1TbmLFgTcroXRoGUm7T5Z1VY3l5h//0O6jrcjwjbeJfZ
Qdde6lwzl6PzdDbK4j0RSXwNER5gsTX4ApjGlDxgQ8yXdgaVPDdmzpKR1zCfu5COqAVjEtmFeUPt
D7/rPqILJW6aBWhg4RIoox+lM1tghDyxGYyh+HRUF9wYmHmfJ8syVgDmAYLbXfMWcNK/z1SaP1TD
KE6DDyV+hb+159LDJq45CeDaIkPXNMviWsZ3TepgDZMxGzZwg10cOgcDDBwJRfjK7qDKG6dpm6sl
4r2dw/CLCIEmakWXAQWJ0zLvtcNdNrv+mzVqGwd6Yd/DXGpIaVnqKmpSl/2nK/F/SfmDIyuZiiIK
vuo2FADd0vEIhrS6uFGS3PRWnBwko8l165TqVNnEgSvDCXZjqXyL6oNbKvHKbRexM/eTAC+3YSEs
iCC9EbO+FGYsVu0IFAUGW3HyZzJ3q1oEC8PJvpb4hL/5oGob4vG7yrwll4TEElLZMn3TnPrRkqVf
+Qza1vXgRxtLjwzEAytBZ2XsV+TMxun4venpjlPKCs6inrKN68seMUsmL9AEJ4xn+VtFaHydRKl3
rmmOLOScwows8JWIBmGSQz7dEOWXGuq99BnUV20wbelmYRw1qfQ5joVhrzzEp03Mb26T9y7cVkVh
atdp69phC7ZWQpRPtARht4YQ8ByZ8OANZT6kgH930HX9Idxb6MTANfq7FGaZFw08XCa25Ka5MyJr
upnCWe3AJY8rexovqdP85PYcV+lYpDddBU9ZTrrZqFZh/2CuvdezRd9nZpb1WqKdUIwOzUSn7qWj
CWBGAIx4fm6J9lL+qvxkVynD2Pa1Ibac88KDT/MfsBm6Q/uaWIbJROrQNwH9IjLFtywbIoE9VkRF
PecFMyigjtlTa+Ku594j+MxrmQxAx448f86QfRNnqRDI+mEDLSQQL4II/gg5yqEUe9VDaonWVU3C
mI0vafLrzPfpXon64brgUUibiTH2DzCDyjfqvvnx2LEVfiBszAbBHYJDK8KvhPPNPr0rtGXcj44s
2uKocW+i98dmyzZT9jc0SJc3aZtaP1gB9U1t5BxzsRWvSVlhD54Ta4zWlhG80qEYPgurc7YkaWc+
TjJxPi1gKB1xM1t7twjavVdH7r0ux2zJE3ZHGnnlvU2cbN/1Qn+4GmAXQMsueauqoP0YC9TEpq75
MaK9Hrg0AcYKC2QZb/IQCAJPvQsdP6kasoJCO6+cpYfnHovIQ6sGhz41wiCxVRI6hLJ/sflO70Qh
eDOz3z5HYviq81RsOQklpxgixGWy+Du8TcGaUS/yoysJ5zSlYV1Yba1twdiaIwfqwjQZ10ZKr1OW
O9HOY2MBSk5BTAYil2KVwAuPRsjP1qwD78HLR5pUCkHLTlkVZ5M8mdCzvzYjyROrj5IDfq3sFGgb
a3FbPY5u9q7r4TxPCQn0IfnMMic9ego9tdf22pxGRc3w+NJw+PH5DXu2NRFRnn5UqjROSUrV0P/K
3PP/oYmmhcPZQxD4s6Hm5v0T5O97+fm3m/foXf/t8E5DavLbIee//y//mnPaf18mnKhE/xxm/ob/
K/6O+9EBeots5fvCt/7vnFOYf0c3wEfPNPOXOaf5d9MWromQTYSchM1/Z3/8ZcopAxNtzkUJ4Z2g
+vyinaVpK1jJoNwOEBvSdNy7TowNXoAXcPa/uU5/oDpaWEZ/o7osg1yONAg8vKDF4Nf95bUixkZV
LZuQXSo2Ga9nrAfFJPN2ZQUNJgD+Z8p1O7wENozMGbzEknO2X/NI8OMZAdOAISvFXwknv9eC/vWu
bI46yDRu4Lq/zHlDTP6BW6hwWxMpbDN1JBBOuwE+DivSW6rlKR/GgUO/k8+0JIgIRIfQ7sKIhaxd
O6L+58+KKX/0Vf3BZRL/uOb/Vqf+8Y58AQJ5AUMzqjN/eUeEC2qQIFG4beYuBlDgHKMlP+QEVngZ
0UzI4Rv5pc77jmigO5+ggrN3mCXg/4zqhTkufxg4XO7C1sqv7A7Du+Mkx9or2bVgi7fL4Yc3fuQT
JCUKkNyqPLs9NRAcCnHqTfTNCDLjgWts7cZcixgeDt2wS5W9ot+wFPJsKk5ydbqrnXKT5s45yDpi
sABMjXvGXff48GgMcDbgE8ApTVvD5MzTBSs4safIDfedqq4bVxzgDqyUfl0yP3TKref+p1FeuR5j
CGewTzXDD+EcsoBnd//Sd+AT4QEDPx29o9M+Y9KjJhdvKWNfm6lW0bCOt9Hd7CAYpjd0aC7ETgB7
07bwwhPiOwtxuArC/HqSwwO9vieGAbsR3y84UQpmgGjR+8l5bqA9UXgb5A8QiSyfjj73bPsa+3v0
ho3v8JrUUcLw39k0uzXyxfWDU4rfwyvxCeQSN2iHKwpuJcF4TnQHzawBIw+Xh5cJnA0nrvtKyzu+
z1Vq2IeuBYE4k2X3cDWIVG8s9TP2LqJUBCRp8QMsOsBFRcg71Q6/zN4H5gy/MXnIhupg6JupxvAV
xO/08m4d56caqx8N7lzKkyKf/qUouDRUXAbTbaLLg28RVvXh31O2FYUAZsxA1g9JS8W7VxjnSfHN
eV12wYg33It5rFr6iDp8w2FwGxZO9RHZCqpIXXPRih4JekUM/YtK4/gOh0b1HtiJx85CLj+akKZ5
0ulHb3AePBL2T5iR+mMD0+ht6IEldXYQ7YdhcSABeYyeKQmh1mkCOW2xKVErkVkOxGbZFQ9+NnU7
ouge+uTMVrEcxknzLiBsS7jThxI5AiIClJ9zTPnMtd3ZF6kb907PvXffikLt/leWv//vZD8eSotF
/n+W/V6+mvZvK5Lt7/lvl8V//Xf/ygSwiLmOzxrGWuBgEuEZ90/tz5d/97FDcYAIiH3x139rf2QC
hI07PECaC4SHcP9v8c9C/DMt4eNbQDr0UPT/Iaz++5Hb/PLPv/XH/F5L5wEc+HbA79uW1HmgJf7y
APYW3Sv3XX+v4y7bYRZmEolTaAM6Aat7Of2FScD6lX3P62F8ENhDuSIBH+T3SnUqmH+yQHucXrDe
RyJLv0CCqbveKgGDTkglRThDduDnAut6hrBL3Ucsu+dZh/CbemE/ZdS29pvffG1/sBIRpPhlweZ9
Cd/0HVOi2EvvF5tE0DSYCqYCm5rIf7Ql78MaEBGhPhyYiEArmwHu57behaQUN/F0lroz/6mu/4/L
Id/p7zcNvAcyGaySwsXlI395D5kPf2lMO39fJ5jHwqyhNxLa3+Off9Q/+MZxgfjS9+zAY6S1/Plv
DCEeFzmN59RnWAexNBteqGtIDthtaLAnB/AXF/YPPhOnRT6N4yEtcyP9/tW0gKE2pn6wD0omkCOE
kBXimviLV/mPjQ1ga34RVEW4Jvew+OWuwlZtqUGG3h6iIB8jm4B45d19XyQf//XFY/NIGifg86AT
//JC0pi5osvtGyKRYqJMv4dkxgBul7fIiX/h6viDbyqw3GVvbDvSlL9uWMfOqSqvcbw9Zb0m8304
03EPMauYqREaocL8+WcTy3fxu80YVxGYk207PBF4Tv3yXSUWIALtRUzADIdEcl8FFMGE5n3OBPpY
FTH2xVK5u7gd4CBW6TK/LcKfbs7YYChHdZ+CpidkWfQbO3PpOzKlorve9vONJAd724LOqDekogN1
7KgoZwJX4OTUNShn1GRFbLGF/NpJapJXZspyVhT6L3acf/Q7J0+FzkqA1v/P+3EoEzEwt/T2UQn9
NZWGf5x6CaSvl0/GxLYxDRsO7NG3Z1M3h/lXPA4RIb0/v9R/dL+SwBLsYz1T2r8aLnQ6OSUBvoAe
Alzho5PclCawdcuM3fV/+0pkvlg/OD/5xKB+/U7jOm5AGwT+3kP8XI+UngCNKX5ADxfbP38l7sz/
vGEDxj8WLhdQD94///w3jxZVWLbhiQYKUtCLLZlD6gt44t8K0x3vXYMbQSiMqNkIzbdrma21vonw
hNw7LF4IIs4Ui+8nLDHk9DvpPhBdl++yV/5hoDEgh+3STQ9B0zrXbdtXVxSgJHvArOAAaqpdxl2O
SWqtAPytzYJQhBlMyMWx4+4CXU6QCihW05oyZLK2gcW/aBJPkRH+VtzJVIiBugjPXZzKSymtkRFq
3GA970cBh9VPLqFZpO9M8IqjA1Rva+bkCRCTkLt65R0z1XqvFOo6l4FoODKI06yNELcxI3f35Jsi
PFvMD4MM9npORfQirsEHKyyI1KBPHh2h61fRlfU7Hcf+KgLMLlbAt8N1WQ3EU8t+WlSY/JDQTPNg
mLW6+GbBpnf0akrk9ThzRBps9VqPfXimHC98jjHB7ftC+R/u0BAyD037LTPSlzIX8CYyo3JpS2cu
xODlxivijTIp7XCM4lBS+sAZpI/EPYdcxFA7dv0r07Gby9xP5OFb5aJY6WzPx6lhljL0IXtBbeRM
qdkJA+Vo0k6RT9dBRwMNJ65uaZ4TIT6dzlDJPldD/8WWiWuycGFj1ETUuc66UW0Ycsls0R3J1zTY
Ksr+mYkCSYZC1uQwQgz0z2zbqCORZdA++XnhYBMx6R9UijpCVzrXqncBfyszbOCf+4QA1czSz+kA
0wDlok6FSZCmvYOIaIcsfb5v0fRcPuKA8j106cCJ+G55CPVWsnVqKd/iWkxXHv6pNyi/uFF8M4sv
oPWQOYAq8zp+ZzakEsJmXBpdJw3+tRiC56EBOfts23m56k0z/VAy5TN4oeSOD/q0ecjxQzSbIh7o
tmSLcyrwO+VMV77nyJ5SWA4J+pnZ2mG690WdwiTM4ECKrFCn2SWotkly0PEI6rTQhiOmipkNDgMx
Ufx0bUmTJG1anGAd8KSaqoKVHWXdoQ+h/bqU2SdU4kQ07lTGrNdmVhQbSAM3WTfCQ7cr+hXH0uL9
xoOmBCD2W3T+Qrgckw0qda/FAAiqt9QpDqS+iuAfPHDgxkqfTDtCAvGjMINxmyR0Qze8twPBHho7
VRscfInHBLhnsYmw0lNMP2e81TjvoIsiqj/3tk8UcFJflcU4P+k0jPxYqR9BGLgWG1RaZQ1LEyUi
K7DmnIWCB3992Bso9RuVZ1x98K9nv6MSPB6n+BiX2uezYh4AXFq8IwGkNyn5w4Nv6/AT5oMMyXYN
w12fUtCT8xU/0GBoHqi5zLfD1Md7Y2QVZiuqP3CgtXciaKZDMBjFXjedj2MnsnakguHxCdSMng0i
tFvnitFzuh29bgDwkdLXQXYcheuqqXwiB8U8cFBoIp8MQfgUTb1zBdkX/CP4yyut2+Cd+I2N4Cnb
LQQfGwZBqDt25Uv9D7k4jBltQhIcewv0C4bn2UL/rdkcQ3iMr6Il5OCjwfmVma1Z9Zaqpq476HAu
z20uicTXzjBvqnIp6mP4TDbGgHfqdGm1GQs23racbxpbxds+9eYHobzmXM9Z8pM2jQICKARAlvlk
r1Q23jZ9NRwB84avdcQ0n6xS8OQqZwY4OBnEHL35HAXpa8dcal81S/t1GTbryL0N8+LeNDMQwHHh
HrHqwghc2gSYeZML9Y1dZbvDVzmUrVhldcZInHiq9ToGyj4DgTsPYQx2tk6RHQeT5ghnsq7z1oZR
6vpxvtP0mGxkXg27ylloPRZei9TC3Dhr3d+HTV0mO+1Ac8/bWUDTMr5HHFPF4MlHNkkzExzsMjSE
PYNXMveW5crtMFTW2SlbTH762k7LaeVZRr2eeYKjTJfv1gK8jfnkNrxDiO4Eb50WEj1idJzM0LvE
0K/tbrBv1NCF96WJeOqF0XSV+s7ZqQDoUo5Bjsh2x90wdOpHCIhgTf0yMPcJgKRU/i4Fbj3gmhzc
19KLx62VRxNYBUwca595Glze0hjYVk1l/cS+bAQsmtiHnIqsvU6wSlk8bG6SgpZ0xvbBQ8znfdPY
fjTT0FwvtbwF4nNDMci4svIOV44HdoD04aSzfgsYp2JWFswebJ8SVmzEw+ulj3Xzk3omBjDKg91x
jNJphHNBAee6bebvSSQQwxIXLrPXvRcU06KA6HnV+mOzSx1ojVgNqD6d8vslW2ny8EGkNNV+TpuQ
WFqQvTEjVifKQfBFdfO8wk+lNhn9jxjikPYAGPIzHvSVnsPxgvHvuRdwmRCJn+x8oNmDRf7WNSqs
c3OYZusMbYRwuztw52ZNvp49Rz0wj37wEtQrarWMVQCB8tDC3DiNU+McqBztjh2Rn4XYU6KSS26K
HrVuj4zt7nmkGCh9VB0OtWD6RgbjtlvksJK0L7Kh02yVQx+YMaVXxLkW+0ZQfbMgJRDehvwwQ9l9
ipi6Uxc9yuFL5+jaKID0TqZ6sf3MAXWXuWR0Z/gVrXAV1tKk+a4EVRojJoEHkLBqp81l/oWiMs2S
RuiAFMwKFbl/RtmMvkFJ6S2tSdNFAe85elLR1klu7x5LPR3TRfgJDa67wS0Z7chMlifXTxOUnrTL
DmNPDxVmAro/KQfftoV5p2ZEucaOCbH5Pe4nCkDo+yYwB02IO8Efhbmz7I6yI5ESeBqTjEQsENxV
S5hogOlIdzrlUNWHGCFJL/W/LRRBrkgA8X8floFFnUmFlzB2rzKne530WJ0x0d+MedV8yqLurgEl
15tF3cTbK246u2q2QQjHwW5cuYfO0x/hhe0BrzyX4UTlejfX0VaVYXmqcFlt43qMNlHnFk9jM7Y3
gTdUe5NF8DDW0amcCv3k1LFPy54vNvRF609FXQ0rN5sCpvUV5Rg0Cm5qwbOZFtMIPywt6lZfluvG
rN0VkEzIZraZVxsGGf3tGOuXeqKdtTK661j0+bqYhi1MqH4zt1m9zbtxo6vRJwpazfueLPw6x+vU
zLV3FjN2YJEkyR0be/AxEaDtaQ7Bz5e2jxVyLJ+b1ECz98ptn5kfpZscusFqj3nHCNGLG3GwKxJn
TEZZhZEeDy0Aq31u0BYSQFSAjEqH6YRxq64N/xRUY7oRTDkPdv4Ir7PYqC4DvjjITalQBdjKZ1s/
CqKtSyJ2H/dBQt+9kax0IYl5yfDVKxC3a6zg5jC52xl2dlurp6ltCCX206k1umc/Ff1tjCDNpX0L
WiKNdmx8+En1LOzsjBH9IepZoahOveSj9xVlX3rwSawleFfNJHpESY1XhapPtfSuE2mdDTHjS6GH
7jrXBtUZAaK6GWT7cLD9j2r0gA8JouV0upc+0TfbVcXLbH8yist3vlBULAzMnEkVAnGUE7Cdokke
uyqh46opMUb5zy4yvqvUe1aHP8aKjnMrf3OEbKl9cDTFJhpDQBE/xSI4yKJ4HPz0rRTqWLcO7ahN
eWO7Ge9dACJ1637Ydj2MnDaFyCGMLt04kvkFpXN03JO+pjP4HiQjbbVp/JOxw9Edpg00f7omhIXf
rcdpl8bhARpIfymDSF6YkTdfbZ4HDM3kMQsNeprgbe36EDtiMYQ/M9vjYM5x/7ElkMvTeOHBU7zs
fkCIqndF4zAuL+ROB2Z+mrIcaSQcCHPGo6u2DmCudZz73aYZqWeCAUrzfFmeKZLA8FqO7FVqBOTF
XgNagSNCMyQZp3qDPQwfmI4qSHa4Yla+g6YyV3zfnFtpEzC8B9+NLo4NMt0V+kdfgGADiAqPnd1n
kQkcRyHP/DpaKg+C+3i2z3YavrRTeYPD3YG9zPeOr4gmBS/XxziewSs75ZNJTBzrqE2VQVq/phae
Cxrm6lVS/fQM54VxPJVnmjV7qhu+NJ0918LGlUbc8XlkGLqa8HAd9BBZB2cW1bYOcZnXqknfk75r
wSEiiHcMRE5eaYLmB86xoZiOva2nAYssIEzX5ZOa6QDOsL9IC8dOXNjVdrbz7tubYvuSVCO7O9fO
d5NpVjt4ixgGM/Nccmah79HxT7TbsjmiSFAKfatbDhiy9tVrXBtyX8ZE5BmxPKguqnZhrdayj24o
92wvjQLnPvLs2DpB6J6rQBC6xgOS7BOLYsZZwN/TC3aO/L9i969f7AxmSOfTnisSbW6jsA3W3uCO
j4BZOLqU4GwHPZi7qPKqj5EPdfI0OGXKicMV/of6IGKj27Pemje1onMqqrLyhPpZwnXd0uktziZm
t20EOuuc2b7z3MBhewYV8RWO9HlifOn3cW6bL3mft4fSSo2Huu71z4F7+xY/pgva06bbzIYgUrdx
vx+LMcZnGTQ3sluIJIxxNl4cw35VCZiSgd18yb6v8Z7w9K2NLqJ52bQSbsOGGd86txvsX11cd8em
AAuBr/NtUmwVIyZeoBrjEt+bNdGMzlao5Yi8D1IiteOEegUdojsQOZa0zLnuqQYl/4a3ZcOBifpv
fr47s7G6Y4hFFUq/HDaaDsXbxJQpu8WsPnle3C9lKncxg6h1X/CNY7EMDqKXNDYzSwG/PFDNLprk
7IxaH0E8bstgGHcBP3TOUoW+wg3Xb9NEs6+UdnEOFvmRFmbM4Jk1bPoZTaqee73vRuHui7yVV7zO
tO2SDEeYFJiGs8E/hX4QMnOBd2In7OY5gD0MjbB/ZGVqkdJu8WvbdMFmGNW8OQdLGocABuZPjuP6
PhgUBhBs6NAEjA6XXqb7K8NsnoSQL7wsRBwdHGMCP9uGPsFV40zTWoeM3MTYwB40IUjcCNNgNlRq
YPlFR9g4KAyLqSOwEppkuH2qqt7JuAqjHYc+56WLtAUQoqpf+pRlOlw4s36J5VzF8ILXtByVd8wq
yqea3pW1DuL6Pc1i+x5ugXkrFmJcPHE0XFH6qW8zEfxUYALvmcfhSDHsdlU4dbUewjldt5gaGDB1
3jVUdH1dVirbusGYHfsRzkqtQnerjKrYG0YMzhYY3MqmUpAKThjaK6kBfftWRUC9nH+QTjAPEcmS
V9KsoDrSVDPhcH96hPXZHNC1gUAAqaWw60tu0yCe9VNy7factPzApqRImXe4DXAEUQilDmNkx9dR
X6Zb6pSSK9H3SY73mYkqQPIu91ZOZ/d3U2o6n30KgOFk0CmLndkDoGC7s/dqlaOZbZ3BG+VWI2t/
V9xk3tqup7S+jqN2epzhfHvr3DR0uMVS1SJ1gzB5HVzZbY1p4KQ3t/MjxBUH92XO6jhlaKqzfABX
wzMz0NlHAQxml/rW4tUZo61Z0n9Hgks+hVl5lbX9jV9Y+pR7jlxVGWsHv9V8PoNSCLap59t8Cqzj
3SouqbNrSes+80L6Cbde9UrAyr5YVXGDXTzbpWXtXUuYh7vcGsAZp35bvuHDAEoqC0EEzaumDVmd
8GDJsH8a1DQ/QMNUjwnWd1xJgbkdDFp1zYUTOAGkydeQAvKDVVNLwksn3UbN4eyu2snimViYrL8A
230UbQrs1pG3WGS9aml5jI0UZ2wX7pQXMUufVBZusozFAKZzZ9COqJocNsNQv7sZiKnlO8kePZ4/
N13hd19YGuj8CTlM7jsutX/N+h1nu0To+1A2PL2ye5T4girXmE4E5perGhfFecBL7YDsI0/M+2lC
OqbmnqhUAFwqCQfiKCEPXnSEnYFZcqWzWu09YrB1ktbrzoW0Zxh0YI+ZJAQdqOwsoxRRXTXPnsJV
hSXPNjgg1O67y1HqQOWkWGsdttshILjtzW13z5ES0n5WQLYhLLHFqMW7auPXYWL1E7Ibt3RXm3tG
H59zI5wjpSsA/OfhuZvig8IzvmdSSy+pHxLVEGWzJTpJwXWH0S9P4KeXLc1xU5ypk+0n9y6+4S09
JafQgWW25m6xNi5TYeIfYXemMVP8HCtvwV+lRWGxB59ohYDsLhmF1u0VQMJu73kS4EykTf/TTftg
D8GzfmH8Ud+VftPeRwMASj/w0wtXnnMxo7ud1Wvvwl4OHBP0jV3Br29j9uKrjSMNIdMaL5LATrgy
gzz8yQyWHT7z8vqqtKM2XDk88/AbN57n7ajpoJBniBQw3AzPX/tNX581EksLZ6yAw4jsCFoj5plJ
H+wTa2knQUXmTLPkhLOYA0dIgwEG07pi001/TOQD454rrzi3MkufMreHGRH76rqJ3IFamEVxCRPj
x1TXS0yE/FEMGazphuZeYnfeF7VlXhiLePyvm4DxRcNET3qAkHcBe9kAEpGCfE9h9rYgDQR0jB7A
UoNHqZ2erod80zYpSQY73XICCte1rr+7WT8Bhg+eynGgn6Whgw7gdNkUAN7nVzySL4QG6FhrM7HQ
diAG0QJANQEOzylJTlHFTAhBBwhFYjzD6aDnMWF2ydgd82OMZZEAxaYo4iVxw6lLRTI9+GbAYbZ3
DAYvsbaP7GBBwiWAa+n2aVkVQYv5dcNoZwDIov2WErdmwA1EGwidEqgqxg2Br6namUbBHIeJRvyA
oU6CRu+qo6DTedsmcf3g9lNBoU3rWkCsiwaVmoEHnLO5E+1tY5cOCRXPdh/NqFYHnUUcImHH1NXG
Dh19MrC9tasJS+Mu8wGuqYixpjl47iufa961xEEXoUJWz/bcg5fmxJLfhmZULY2Tyv4kZ8im18BF
tYG1ZIk1k8X6iZI0HpZZv4yQMzu0vx3cKGyFfN/Yp2gILG/MS17kmHmv7RR71yhS1TnHInCP8Okd
XWHbT6aMohpYjxGn7KqdARp63gRvPW5uNjKws44mK5zJvW0mjNNchnadLPhtpX1Vqo1hOdaXUzr2
EyAt8zk005rKqhIHfRs0ELSVKZAYVEphiAqc7FMZ0jyG4zQSi5TJQ1IQ4dhksdGw7lTuj8lzvIus
0/wnVQwhE9MounRjtTSb2TQTNV1UvKcymE81LtUez0zAGCI3ODCtR+BTVFVW8iGopF+vq8Kx3ps6
Alyn255QqR+7t5kJiBezfxPdGrPDbDcmFRyHyTMowPa7KkX1jIgUvpBkqd4MfvtbA8/aGoYZViiX
neRhKpP5JYRC9kqtNz/NKQnbN6EN950psPMjb6Zm3dczFgIbdyxEFJ7OCw+/5BY51YbjsKRU1FkS
rvwWs49ZlrnNujQdh7iwT4h1AuX5bMgiPtqjOZ31MARvqUXTvOk1EOumpVebMbOLjtFSYFLp8H1m
yMIPAPbJm0+QC6JV5bKpnnPCmGwAgRkCvtpFvXxk8Sq/+rKrbmlWMfeIDTiPpIQbxzaPSu7M+JEw
7oHbhI2C2Y0Zbnoryvd9lKWQG6Ef0/ZCN55d1cUtclnLKS9i3gWZj01JKYr6YYIyGBBPyYliYUwD
BCma9CzaIT86w+Qfx5C4dOJUNQ0VCcJgBT1SrVP6bWeal5Iczvtgmps2K6ozDwzoj07CN4dLX1d7
jsk0T/RCcYquCjznW7jGGftsSPYfVqqHOwbWw61phuqB7vQFo9rl59Iss9NMZe934Ej/HLZ1fR0R
XzfWwurtb9m11VcmsiUp0lfdW4n15DXVuvFWue1pd+MnCmrmNNDYjZ3QdkH8EnWLEUgfGwluceVX
1Kms4L6a94ZunWeMZ8UnlL1nyraBcTfsSPqppnfZyyMS4bZU2e3cDdN70QSxt9bMTjv2UxAJPUbv
M30FjPVk0DfFjmMAFxl4DxsMw61n85TGlLpsyMQRAdfUv9xQryOrjUR15RkRlYAJwTRcxSnrF5gM
csTDTNEMLvW+yEEhs9gANESIrn3DPPfKoQGUW0LcmN0/yFlgzdbS9aL3TkMJJ3favDpktdNNQZvH
sYfqdR/zRfk7x2+cJwIoetqahfI+2Ro5AKGSYvpIo3JguJKTqDlQfGizkRIN8WTu5rTZh5BMeEDo
htIALyjdHx2OVaDGbPmvotAentx2WdkCF2rVbDC1N0orOEXe9FPrjISXx0VZcbTmd8IeiU+AmGAR
iwFMYi5z7BEdx3sDzZV/6mgIGVm2koKhCauIZV3LlhEma4FDOtl2sAcT6ptGAeNdI3jY/MGj1fZ9
R6bWscptHdkFSoflVe3WiRNGZ40F3L9x8qPnJAv/MmpNi45OutXoz1EfegLDtR4dcoo90s10lWUG
OEBCUa+zQnVAxODwVuiwyA4UT9qfYIjNq0k7JQfcebL2U09/lZ1BKM1hLe7cHBGIW7I8YjNEKPMQ
027dgHEmGmTHatKEzcdMQwRbPIBhL6kXF5uhZzdRxfW33ZMnkKRvKBqwg9thtmEE87GbE8EQfZ6m
ztig1XLGn7IdFmdjZaD27TnbUPnFqbn+Vn5PVRZE5+Q29uUFf2pCya+KHuOiIIUuGoNy7sKK+x26
fbwrG+ddkpS6N9zU+TDIja6sconKW9VnJ+30iULj3DzMQxUw/HXUa8Bqfm1ElXWT15VxHxnir4wY
/2l5CUwHFxQL9wK+cBajxm8cC3FmenUdK3850yOecmK+9SjSueTUC7Jus1W99JaRPlF+x1L654YJ
54/sElhQUEGJdWG8+cVMNAvDJeQ0+vvJjdpL4Nb60GPj3LMkMkYdSKcA7GZphcTXfw4zS4ruumJX
93C8Or7Z/8PemSzHjaTZ+lWu9R5pGB3wRW8iEBNnBilS1AZGipJjHt0xPX1/ocq6tzK7u7Jrc1e9
yzSJIhUC3P/hnO8ULVT6KKoYdrZ2toUBPpDZLbw9SZxYpGhPHmo1oTB1KxECe8OodOyF31xNfr7e
Eol0N7gjq4qA2aCHUotI5qlYOVeogLnrS4vBduEeKoBBKHPJoBUJZ5npEZ/aU/A8G5qDYFqcBxxz
3/O6gVgfjvqIqRCRV1PjPacZQyo1R95ffHTuf5YRSsnMFhcK/gCWwX8SsVU8Snx8PtU6Gkr6BvvB
98G+bQ2++dpBsjQtaDM8yd7dWcxynQ1m2ctyRxVw0RhMbgzhToZbAs8wGZpK7HIJzcMmS3jbzBYk
V0O/WxYUwF6eHzH7hH8hzPnFWv6j2kpK/A7Sv9Bd0OdclHP/8Ohl3CXtKHt5sPs2p8WR41puo3VO
r1dLn515FPHI5bxdUIJfObZtfrDxMqfevqj1GLgFTg0mdJhsxh7oNv7i2fxPUjB+OF9EPJchxow/
iwQVMzzhYFk6FA6DKlaRBJTb4A3/4ts48r/4PtJH8cgrwNH+C/X0Dx9Cy8LYH5JWHlh/LgXXd2gd
p6k38TyXlwgNzYSgIGSyRiQN5GkUZ2yaA9H0U1dco9mR9yXAPGQzvCxtQDAL9mW48EWyWjs/s59b
XQwv//yjcf4saeS8tp0AgzBnUMTs508yza7sVgYSPHvj4HIorG6NHt5mOJgnCPeZ+/svsrhv7Kx5
K1emZ+x/MHeMZXq1QMuMETMsn0FO8uevn+t/2UzPS/vj3//t/bPK6jgbdJ991/8otv7lQYLi9g//
ivG7fv8/P2qd6eXuveKLn8HRmf79v/6y32XaLi4kdLdQlRgp0I5zFaC+AN0und+cgAeU14FfB1XJ
JfJ3dLv/G4ej4P3gS9BiXCSVA3GD6b//m4vhCfQXbzeLNzuysbb8SZb9z2TaSEz/+KZENnI6AIM2
uwLyKaG5/fG4IBjPgjbqmKOf+GxfC9QQ1hQdKyq3jSPnr5FA0jXO6WXBxJAPPvuP2XVfSXz+CgDA
htVJgljQTZ+gaent6Qt2ehYmtizsxbPu6qeitYdrxkH5pqF/JF6bhpb9/6PAZRkTiZUe6wFJNE0h
G87C3QwZwFccjF8b2XbAA5Zz49s/KvpTZ7kAqFUwbGuJ6mUtLDzy3h1jC5d+2+q+MaJVm0CM81Ev
CxvSAH3TplHjt2woj9ba3PRljvpITyiWKqEelJVIrOnskOyOVZmD6AJkQwgePffp+CwCltM6CWfg
zT7EB7tcXhKpnu2seJ/S/mthc5ttRr2stxZjxl0+E2elG9A9qVmwErm+OVdLTpZ94d+0wplPbkGW
3UozB8NHsr3tCBCSzO6WmZSkwDE/HezZw0KImdN74SO1IqaTNt2l3VAcliGoSIvp6tuQ/OQtEIHk
w+uUdRR+H16xg21jbO206pNENtg7kA9LAoO0WL71s0xZnSEpbqdxwPhc8l+1134YIa3bRIz2SU7s
lDM95fFaBv4ty3yzD6rmR+4wPLMY9d33qPj3kyKW3tAeoiptIsh3xMYVaW3IxO76qw58xjka1k9s
7uyvi7m7n0pTfPWa5asfEZo2FeyAB8nFVA32jd8VBhsQBfG6MIkrRsjANXDe8Fc0aYlJmjk1k+CS
Km9yIBiNlX3VhAx6+V3l0W779DqDMpwJ8RwyH0IOSUYku5DseUAuEWNULXZDV6jbvFPledIpobfV
WGzXAhrvlKWsXlv/S8i6bxeyqLyl9HjleZU/ZrvWOxtLPqssohArzfBvbIfnxCK7dQHwg8hsY6/D
S849BviZAd9QI+SaLf+tZPp9zPVwJuRk3hUX7KTIvWFfmUa/2MzVeUSjMzzm53XOH4BO8czyvm9H
FKVsr+ld0PDZ8jDPF+Zp7l34p9WqGWoml920Wvr24cKz2jmBZcXsFct7ObjlrvHVdKoyNq2CZ/Be
6YEBJmynoypYLJZpynEmh8Oq21tjk16zjUp89zgJ8zNe/ujgIkaEXDC8OCRxPVWyUlcTpsyjo4ln
0b744hDWQn/P+rLMi2zLP9W4Q/81akQcCJGksZI3uGDjLinc7ob4bHW1LpPoNoQT+GD1g96NTdL/
aFrmeqoBLypmUq5E5c+Par5gFWe/2M1otdiIiyvB3PXe7hNkWAnZCEJO2ePksBFaAB7e2/CDDQ0q
9vuFmG+N10lMIeIVGwD0htS9x6TQZORaDEXYyDR7bct2aw9JuB0FEA/0ITRlyNrQa6ZBXdJKYaYD
GSKgC1jmdRmk+GKUCY/IWVhK2SHkMZslfzDaYKr9kCCjsFuuuzDIvsis7W5U0wlvkwarey5XsM2A
KtiL08a84rl8tVOCZRuxbNSg6mM7zA+tZrY7ts54ziZmqBaoUMBzo2CoTlboVQSGJUS5/EHo4fRj
ZJ14H7bedCUXMR010adbPyHXyQpLUpdWhd+ibO+sPrpmMe/GGMi0siVyuIpR2uI1lyzMayS8Lm8u
xSeJWewO2jENr334uLRpSXuTODq/T6mn4OeaGyOy8VD5unutbYN9ran6O90tBkZGb8eGXKtdNbC0
H/M1/zJKfoxLeXwmA+RxpmaK3QjgDEG5GCdz88g9ZF2gcN0eT4L6QC2+Hp3SelZzZ7OxvqQaurW+
b4ooiKOI5EKvRgtQu9nNHKXFGU9d80gUHVwEklc3vRMCmAeZi187umhVnIXgWwxRJyuwTKytLqAU
jyqq4KK/mS3dbCwmBhsCZ21U1x6ncBb8cIhgjSWo9q0vJX598T1zI2SvOQxrXw4gn4GrIDjPJ3R1
w7qDA8LxkrCKaurkxYb9+7efwS3Z3KqMhWCjQQpEI29zGbiIvJNV3hZFyqKN3as/MDVV04elTIVV
GB7Gs9tGPwOmVdDbLka/YzSRnILN+Z5NqdzMQOytOAeOd3an1OyB2pFJYeVnKA/tLQTY/KUl5AWZ
aDDtiNB6qWpxCKyJtTl3AiEElnxbVybT7J0/m5kHSgwIbjq6jnxeprgu7bt1XG8r2S0Me0X+hTrJ
PRnLYrV5+ZfGMpjsPfTaiFU4erSsP2t3/TBh820MCX7dWKvHqN8NAbsPRIUERZ1dzYl6yNKuv0Ux
OG2U5z5mjvC2S0LkOGAglxwQggEINIL2nIfecRiL/lmxw4hXYtkhxOjq6M3Nu21xCgmIS4mb7IQO
Phasy5MffFaG0jjRFzWbF3z+b7n7q2L963KXnsxnVvDf2xLjH2X6Z5/+71/0u08/pNi9dJ+wLu1f
rvu/F7uQStn/eVKGhARRuUbUmX8vdiNQpSw4kFjjgbL/ACSNfvNxfWCtFx4VNGbCf6XYlX+2x9iQ
9l3pQ+/F+ARn7U+DkawO2oofrztkfboSBzrhGjGjmr6mox7vvXl6NlZvnWsPYSaq8bSFhU71GzDo
Qus75eVbhQLhndDG7JQU0uxq+DRbxJPIIH1gcYykg8dZAP3lj083Qz61D4pclR85ZNDJDALKi7R2
HRdULBoI662ckmc03g24fWd49Rq/eocKV8SWC7hwSIri4YLyKBpYbCXV6UW7O714uQAwiXYLeaw0
F+dH8wTY4+ts5UhdJ4QQddFRolgW0C9oi8iiXCwUAzG4Zume7IpXNr34NjwAcecWuDeEGN09+ZVv
7QbFiFuh0dhEvQ6OWVIQUWvL6dVd5uBI2HP5UxL9djMy8v2IcP1vomXQH4al5nNOqOSBEDsxbkAC
ytgfvTCL82omDw0PovOtyIl3Fj47fruLcIGR/IiyejUkskCLmr95cPNbaPMXqWfnj/Zb44QE1Cbt
xMRbOfAt+zG4DTRpp+ihCuCwVjlcp53DzNuL1nZkY94giv/fI+F/ciTwsvgMyP778+D8nr8POn2v
/7EB/v2rfj8Qot8It8DVyEQNu+H/a36F/A1cROiKwMb3iGWOacjv54Fn/4aTF24HdrrL23/5pb83
v95vrKVgegSA6iPHDoJ/5TxgJPrH5td3XNLRiMUhlhqACGfWH5vfxubhry2N8oF7pjxYCS3VLZc5
vg8E1OJUE8LCEnsemZ7K/CKk7IS71jEpF9Xd0Esq98pVEQqZgumoN3s3opNUxlALmXqGZOgSMAjh
km0T8HJzI6t5b8LcGxE/hJM+LL3HSmVke7dTint7azIfp1g/9X0M2kGcUuo/Yr1NVbUHseTF20pY
LB5i0l8Q2yKY7lmnV3R0dp0oCqVR0BF2ZC+xsDjMgOYfViZttx3pVbuKRc9Wgiretahtz6Pbdt9H
1FHvSz0Tf26Xifio2Lcx9VIK0aJr8goIFZltexZuCi5xSMxXVOluw46VfWyLuAQD4FjNTwNzxEO2
UODf2GFn3palpbhcl/kNJR697VTb7V22DNSNFdK7cSNqvYZYbFzynUtteSsx0DjG2V+Qq7EZaV4H
NvnIlYAodQhd6IuR3DieerfriEIja2gYd1OBMpGTou/vhO8EbxEpNcQyU0OxCJUwe4bBYyk9VqNZ
YyuUo3cdjctQ06uROHNqnLrf+hdGHOcfNhWihAf+ArCHWjLs+gqaRZ1/eNoUN2vutw+wdv3P1HHm
L9IEWBwMLCw8qnNXEwe5EuHstdO8S7AEvFRDzQ5zjRqS5wIToqNeOpJIya4MXlKkgi9d1xYK3Y/M
JBxdvzk7AlHMjp9gfhknXT7UqBwfC2fIWewueJtS+qmDZ8/qa06vFDioXoD1xlltZi+OQrO+Go2e
8Uo4k2Ntify1nL2x0oXgE3/M34NhJI9KNoXyrh2U5IQe9HbNv5kzYi5iNPk8dGPe75JILGgA/Bzy
SAsAKkGVFDLRwPII5E0IOJCmnOa3XOjoJs+kxIoiUcXsRp1ULQ/s4iZgzcSE7bTPau8wVU2P63yC
n7nTXcVNajcW2tVcmhtkze4jNNaIPKwBsl+R8l0tBBzVViLTfUhy7ZXnWQEJMRLMSNYJ78FJV00j
Qz91KAeYFVgQohodtCmuw9DCleY0FPKttsPYqYFX7nvjsf9NFoRI9uwhIg9qquW6EW+SjLJoUzkZ
zs7GWMgSQP1Jin1cFntGKf0JLbvO9wBEzd6mJ4JqAzljYcSi1ZlVATd/l+byqz1l3SsiyuhDjJF/
HU4je2vb4g/PJ+bPZOq9mjGjZWs8dr6Ldvx32kZQwBgaGkHrSXjORs6lue/qFR12YYx/RVjYJQ6v
hMHIHqU1X4MmHT7SXKEMK+H9lYeecyDfu8VqvCPmriXAb2XznRN79AwGFFh1112rJswaWci9mHoS
dMnMKo9Mj8AoCNkFfSXkbahYy8oGMWYI0OutjGCObBqACMiCbL1gckTpDiyEB/a98a3sncAOC7uY
TMtP+K2IiaXybmrecLal9pB+74Vo7sKwDQ6zba9YRukmIYx7JPPR/NxHSyj863kVWX+nwMZ9s9ba
oyXC3MpcSd5ETq6+8ERhBaskT2Xdr82ey4T8D7OUd8ij7Gnb2yDhseUr9xA4upa7IBy/570/H0I1
dMi5Frb16VwwBcgdA4pQO6O4UUTYPXHYBNVzgR7sPcqt6A7LJkQlETLDGlRbfM0gqBiAbeSVMPar
rNfOng1ZVdL+aQilxZiZt8h5OnIUww3vNxkRbvOJrkACyuwyF6WDcylQfIoyvTHUXARmj3TLB7/u
ec1oY8hR1vXqubd9uOhjmDTBc5Q4pRM7k4H7Caww9odB17shb9JrL8i+KZLZcExkwArd1ryjxWyf
zDT6rGswzwZzYD35HGfVdvK7EONqQZDvRsnS3ZllHd8DSfl4zGagAtC9XXypcDCgl+vgFLJ8+Krx
NjBUaqZo57ReU+Po0372ZPsVInIEv9lLNwjSCU0alYi2pHcqZpdGtvBXlKPuZDufMInDe6y63jfL
GqsHF2/ZngwW81IqjCcPVQoQnh8ePhuShKn+lpfVfKSKnj12hG32KYxIt2nWN9HOWjtI1+NYTuGz
YkMMOihzqxitWPct6JHYITIZ+vSi2DFbzMVAdrI5CQD2IFLblYRitZsAURHT6TV5MP1Ixh2SPeBT
kQ45tXyLyLGBPpmLu0iONrGGe5dpDaOAZHoqZDhf4zlzj8qM6XNDnt6mdZh3tUkUoArW5g3dzUQJ
XjWkI5MCjgDp8h5i6yjDGoYn2ZC6E2fksnOMFeSVMTQvpgLdSp5hRIRmkBA0hdsLs5b/SfIbOrRU
EnoYoLPXY4ukdMnQSWvoPV34I5izD6186+BkGH50oljPGvDT9Nxq9l/JPOuiHYM1nto0GCRZyY0/
eSdfBFj3wNfm7WnyE2BMgdWwUfUIFQYkDygIe3pYmnU/9xHS4TmNPpumI/LQdbTzkqLYWDetjZvn
OBVlNN+tPD6fiRArKuaRUsdPy0pfsIzNja9zcPDSzo+Fyq0duWRsdVNaFzPrKA55IQb2+1l+anRp
79I8D89F4JQM1JIyTkaJpDfK3J/ExOo30nGGeF6X4cPqmF2BCfWzeLJzUs/8IBF3bNMFu82pdiCC
sw7b2H1diJslbyzrC6KJkqHjNGZMvQrT1bHbZeN610VgGnYVDwyp8WCXlosLwXN2Y6/mU5tZGCcd
QiG2JXvJZtc4xvvKZKPIT3L1hh9Rl+CEEuXEs4Na7lQhpfG2nAhjuEc4Fd2va+ktmxVN+u20tiw2
tYseXTsm/ajawbsK+p6RfzKm+qN1taBQkc3yzXZDnceLr5GskOSAttswNQoPgBErAMK2oQ5VomSS
uATIEQs+5Vunh36GF9ZjyufO4qpA27FtXfLPCER1hxeKKDbqBWyT70O39F8ZPKdXZRVEKQO1yM02
XErzneol0Qel7G0krkiXHcSgTn5vCLMheFEEOm6Fla6xU+he3IBTrE5B70SM/znscJD2l9tvDTuk
JjPSgo1bVuttUPKabskxi+KKSMnHCcLNiyc81N4B3qtTZIXhV0Tjhu03xHiM0a1q4ki5aHpMxh95
A+udlMPeSdTtnA892RzIud7ZXXWPblsJvLU9E/XEFRqf2rgCFKiMy3MyBpK/M9YXez8OedzDMoXO
lmYEBVOYPgYqmK5RZLnDNkkdMjc5xoOXYqIq5shIl5Z0CvrmXZT6UfWK1LP54faVm50L5sv8lulS
HeVpu7YQ83X5TqGQnJdxXtRN1LZYM7EHLAjKHAkSvagyssxgOrjkn4/+oqGNp/qlSHwHeD139L1p
luQaX8G44xXof1QmcM5TMeI5RhZePqbrbH1xO5gE7jgHB3eU8geie/vLYkXTdRQE1ttiJxaUiy5f
H6cmN2+cv5QLfqddf1tFA0rpGj/EZqrs6GTXRJc22YLizXDHvLJXajWSe0a/HAJ2Xhwa2NpoiKVX
4p72dFtSKdsw3G0Y+njqyHfr8YVGFVN5rPkbTPzeKRtcUQJ3AmILXpTbDYF62i2HBOB9drVqUVwH
xl/AsvgOqqEsL7EwGVnKnyPKsO8D6bLdtpxM7e4GeqkXSEkERIt0mnvnYKdNZm15elNwdKz4sDZb
OcS8AHc7nivoo9J6b5DMHReCzKMmluytchz5BH3N23Wk3YmZNjXRV5DfTnQOGuqSA9mrbutvitkJ
Qhbr5j1g8HxZuOX7SSOg13MZ7pTrN9Zhrn1x8nifeDBXK6puUqHbeWs8xhp3OD0pWPE8RhsIXM82
9816VSRL8lhIaoIHmBNrjYx6lcq9KX1yMw4pM162DJEyO+zGTLxYyI1oHTdljQ4swwfadd1tujaU
R22TGWJuHESndzr3auh7zjCm9xEOZ3EvsiSZjvkA8nseg/pRE+1q3YBmytvnBZLuemCeG3h7Mo7T
7EQ8QJZ/hVTdV8egT9DEtQUzm2/VutjvEr+SQHeGU/ZbIVSdbMJZOSFFEmwIxb/75PYYRgkx27s9
oYpbx0V/msZqce1vnhgHvcU0Rtxnl0BfSrJgkTdc3910LAhCvPIXPBg7NxicI4l8xUErTS1BXvP8
lNa6qk5LRl70PgWmjRHWNyq/bfxwCrcr/BINS9Id9p2Vjlas1SQOC7ux5MrDxWog6kTcXbj9QRPW
6MA69HTaRaTBzVAVO4sE1uFtvkgs225eSAD1GGVuLQCMa8WmSEftFSpNVkdYlFiP6aAK0xcuKTGc
/FnXlDn2NN3AaAc4hkyJvdwXBH1+/oH+eGweldFLXIsWfTk4cJRJ9iDGh7yTaGcp7phvLyR6xAN/
HbYFaDPYdigo69cpsZTljo1WyAabZIN96PYdkt2oJ3iyKt5kDvSccWCrHlK4BN8rtjzfkOwCfy7t
9SEf1DkfO3iQfQbqjON7Kt2L4Jc18yzaNM4S8iddXXFN1amV/CQ8x3JPGBPpjBgxXNbfZbp8X1Tv
eadhckCGF/Y4XHXdaJ5A3IitEfh/aC/JFxq9zvI3k1+ejYJaE9dyKK4V4YcuVUtCakwSLbB2ycse
P4YwMgAA0CwIbqGeFftCKwxXZuiVwCOyqJeBKT//HqQEB5syU4CBsSa6t4Q94Rbhq7GLEj1EGmrH
grtGb5vOzlb3eMNnVYefHUc/YIrOHb4MhMHweuVt/15Zoj5ZA7KyUoTJTdiWg9nqanXEBq1AX8Zr
FQAyLJV3JvfBP2QtpJ2clIT1w3P4OMQkLpSRWT/zycsjE1+br2+Ist5N63BqGaG+qwG0IvZl/Qrc
UecHhwX41eg54QkUyEJSVYRTVxUj/teiryK4Tw0QKzSRQWtjac6t8k4aQ/DO6kHu3lv8xV46Vcjr
SKxIQOeCFIhNHSVgB1qa/XjoE9HFOsjSHhZ0bo/xBISUE7uT4m98pf9v+p7LN/r+9yg2tCe/f+OL
VuYP/7P7NXJ8xGS0nH8MpvxbbBt0wcvv/J/+4u/qm7/YZfiXzMV/Nri8fU/f+/ch1X/U7vz+dX8b
XUb2b1Cn8GMIImJhXV02Fn8T7oTub/AXkMY5oNp+rSz+7+wSdY7N0FJEYIXB4P2S2/w+u3SC3wTy
LlByHDSsMxDm/QvCHWadfx5e/pqaggH2PAaXoHv+pFV0zRLN2rXmHQcNdksBHJvrYMAXv6b+T1Vo
eXkNEKnGMxrAngH6SIito2znWlpEAu2iMKevr4eg+Vqx6JB3o7Evv6Me3O9eB5YkzlaP5FHfrjZ9
iIuWqYMikzux8rJ9DPoseyV8PlNP9uJPzWNHIOQQZ3mmiy326GnETChg9eNpYJxJ5UTspcbOUWy4
NsCfAu5GUyPdikefbpudZBPU6qHWyvnp5I2PnAbe2haJiDx1XHBnF9cGGIaCuz12Ug5ZrNYMB+8Z
s043Nj7LkWgEe+Av0E9XWttBFPdBMyZ3SbWE3K9RZhfnqHC/kqiC6JlcXvgVXehmOYZMFvNzRue5
Wefez6Hle85FZTIQBO8Ws+rjZhxIP+hUnj77kUU4ad+Dc48Xt2ckRnGY5feDZ2Nszmb3i+gG78ay
vUXt1yEaER9Faiqu+rmljxRqYKosWMa1G1QG5bCBZOg/utoplm1rs90mPiKNdY6fYcJOAnGE7oqa
P32cHdW+DY71Peg1TQ9UqAtzSlbBDnXEAPrBiGgjycl65U8jUn1U/UOCBxgiStlOGLjolSCn2Mo/
F4tY1W2tEqKEBbg4ts3W4AGpW1bChqaG2PlLpRqst74OewsxvNMKROUk7h37QOavfbTiITbY5sfb
pJ8XuQ24JtnuTm7wUM+zM20zwubrG0Q5TbFBIMBkqkHvcAy0xHYyLFkhT7ZP1s016LYMtr7wDPUw
TJ6jO0f6EmjS4ItXK4PZWI8e1SxAkCzZA9sYS2xCzbDs0kq6zi4NW0EImGrn5yFNrfKYz57/0Yqk
+1KlDeF8qu8/myFx5iueOsLbQQwuPZ2fRiMSOFBn0t6GLFMOmoEyQky4VVaEiYdQZXGV5zYJV9Ix
8zF1TFTtUsK44SPgel+2S6+aKxJI2D5lbV8Qf5Wlj30WPgAzFrgVzIx6JumskzJOehVNU2hjRa3a
1wgP9Nky6fBtRdNxLYPiODYu4/WCb+0+Jey6mMGVVDXPGM5p9RzytLqtsdvlicnq+gnZaL0dA7uf
tqB0Uue+NyoE3NYU7iXOnn3YcbUV3u1c9vo4+03RxWi+qzfNcOVe5iF5bb1sifBOmO4R4BbgL+mW
lALZdit0O5EVeXqHwTSgua/TIG7VReWXLyRBXBuPMwHTXeXf9mDyiFhMmwWlf15l3+hs3XkXLlAg
hKPI/3JachTjhqAXmmc7ebHWMjmsIVKsam7qz7K1oHX1abZXiT+/4j+ttt2QR/Bcu756W0pCSDct
hL57qHrM7P2KxEiK7mfch+CTyVrnLCjljM3H9x7IHWfrSS+TH81IOFCdOWW14RZ1q2PHzPCLUxXD
NSne6ltQuKncrVoTYVDMWUjCjZeOyUEu3bQ3LjvOubUuSShAWtgu2s5l31Bi7WX/fSKnikWlj2OY
oY64aEaSUBB8HaQ9RSpIzy0a9fXFEAf/nUSOUe7H0pvVAa4ZJqOqCNU2LKdxR0zIdJd2jYWj32XL
OwL9mZ7aKUtQEgbL7MdpWbPkgbTWOVfCTdqrUbSlOcyLhxBvWG28MniNBcK2hGd1G9jdgH99IWxv
dJutDDFmOioJ6y9RPlg2AUa8KIzbiYVIrCYILl4SEX2vrMWjLlu9Q9DDb63TV7J97Q9tyosmBQ+Z
nxX9Xpq0i9MhElCM8GPEDcwDe+urrEOIOAS8o7BMOfYLou26ZZH1M+W6x2aa4Pfd6JOdU6GyelZL
wScq3Ckcd2ARs2lX+nn+iECewtjY6EI3Ecx/65oxe/6O3bQZjyqzTXHrewlUcsWRg4nLq3YtMCYK
aAwED0lWqGcn4piLRzU7mvMik2A5gguPRAa1lW/I9pm+yGXtVs4rJ8MWzief7dbWF4/l3FnYa5aa
PL8MZCI2xWXkBwF71p6zzsV9zdnQMKJsM6LNUhjz7imLXL/ko8jEDlMdmUFOCGqfCBks+Ym/Inqq
HXWa56bNtswo5HCE49gne90FktlnztQT6Nhrbfrm0Rp1RjnYZev3wrfKftOAvw24H8ylwa1wym1H
k68Mbf2iOA5ByQgmI2eR3DKxuv4GLhsfAruQjT1hln4YCnZwO9aM3nvUUUhuo7qmR2yi4Zbl5+Tj
ap4LMukKjlZpUDBvxlBVd7NosrMXpePLtDTyqlgUgQK2Za3nnGkCmh4UPONtIdflmbFq1MdTzv5r
o4q+a4+of0k9m/A6kmnq3EF4CTAGWRPrr2Ytpg4PpVoZ+WDmQ4kG8OHeX1AjHeHDtfJhiQQ2S2sK
01vL6+WbCJbgETn/defl2YwftjqbSmbXZN7pNE5qOHEeh1zMYNcCqwdoIzLzR96W4zZrL+Mxeyg8
BsYVyxeF/fFVZ8b7ObTkhaU+IqPCWh28Gd1YnOyZnokzRl3wP/kTvR4OmMnkKl56FhHwOrMz6tvw
yulC2z2MHtySSglMS2XOasRRCsZ/gvDDrAzdmcSk7jbsAmwOYbKSMrcmWHCVK85+aVXFtxRdJQyG
Ard3k67HubIxabXy0lC2k+cgIOtRUyjG8YAeXH3ABT5dg9NXrLHoX3d1mC3hjuY+vBs7C34gkSmf
/iTSt3RYnrHJ4sN0c/SfQGj7Zp/NrQ8QUuCLJV0CslPPWQRWxlvhyUOdEx802i0oOiie1tWY5yfH
X5g89Un06Lv0zEGROc+Q3tpvgcO4985jRfiT3Xo9URsUbnUvdEq3leaTJfaBy7LZXaK2wnMO1+7Y
+MX8oVizfBLdlo0vTQIz9yAaPFpd4Nn940RIVbhzsWXKKx/Hub4hQomPUSnJOsTH1fLpKcYslDdu
Op4goKKWtSjnkLaCapBXde2NT50drWNMy1s9TXJovFMzi2o9e313Hoe2aBjCduOy8TAjPS6hV9tb
b01vHT1nR2YXhDWkc6+BQnJl6VJXJFf4aEe3LgQ8aKWR0A/Z2qcnpjjRVQ2R6pjICZGq7zNZr/SE
d3vGXJs0LZ4g1Nfc5dQgn73vzV8CgHo7E+IRgkXpUkU30YtFUiQjugX7/CliD1KzjNeyPXDQyucl
y/1PM3ZMOBVqvntWoN2LwcACpGaZnCsPy+vN4Dbk8JWdcl5d23deBLXa3aADdZDlSA4Bok1RHYJK
+OXOdmfid5eWBYNXtP53LkgG76GIwNdElveqk+Hd7TuUwfNYMipUbtH+bIuOFNosaC38AOlFdZkg
UCA6YalpYY16npBsttRu5Dfb1ItPU1fOQcST3LlfVzZRW9mt5fRd+8hrfaKeYyehiacmf3fY/21x
8D3lhYtw0/U4+ZkPEWfXoX4U7GQYx98UTlkse7gcJr/LmtG7pH9ZYb6xoJCg3W3ZSe35L+YNNndJ
uoVyF6k9Btp2P4SdN18b3Jhst9kVbzNXuU+MvJwsRpyv4OAW7ZlMDHXm2V+PaCFhbxQR13xcr8aQ
dZxBrxi89touB2/vWlQFWen/uLgpBhT0PXrfHtDrCTbBkr7iv0+xhLuQnDYVhAIqBs92bluvA6Ax
zbFVgYeajcl2nUjnK9AgzY5JIP7tYfxWGJbIe2SmBSl0ZYil2UuDgNRIqc+TlaxQ7d3sa8tnC8Br
7outR9pkc8wsaQnIHP5/sHcmy5EjWZb9lf4BhGAeNr0w2GycZ3IDIZ10KOZJASjw9X2AyMyqqGpJ
qdyU1KKWLh70MJJmiqfv3ntukux0V1iozYOmvQvp9to51WqaW3ur8J5HnMXsIlLbsEKC69Uv1GqS
DREP2pvYXi5nQMEz3C5BQCn0pKJ8XyVByq/Qmd+tRIwfJq/C3aajoN7V5+dNTtqqu4NtteoDE5vU
uY5l9i1dgZgJsNnDxJ0HhvW+FefIqtQPxBbCpZOXn9juz8lxCCr7mkuDH53Rp8yvFKbKlqanwtky
ZOAPEVjrWsz6Sn0oc4rqjVnCoOe3GCGZI1qH0HQRTLwMuNSODzOL6RHk6xcfX/eqy0hbbgRycsLY
UcZHnCx5vR2Ad456Q3Bxipzi1tQZhnYR/CXjTDQ6cvfciHVrG9PKxq2K640bcsllpWpn5ocjeYCF
AEm4v9qUP2It73PAkxH40ekZq7phHzWUnHSfdKX4HprWOQ2iN94h6PnbTjjtMas55mfTYq3qTC5n
Dfa9XQtnBr3EJyRjFlzTw4kUJAFq0+0+bK2JbmNA4gfXaMVLi43AZ/9aA26JUhSWuZUV67sKPua2
A8ZFQ3Ncuju/UAFSzRinDJQmGdfQEaW69WvWnWEsk+A7CaAxWV38LIKgBY6cktCuKNLirTsjaXkJ
Ija82/PUGePGt5vyVKukvvOGRt/W6Pvtjmdznu+oa+we2ogOTORMb8KSknS/Usm6fE+USbZU5Zbo
DIaQ35DYh1vVphVtraaOOu1UcbxoWKyibTniBeL38BtdYn4YBA94plH3yu6Fe49MZNMOG43X1TBf
8Dc5tFs77KXCphiOme3+6vAV3LHDxj5vliOdwtySUFAOXYrlexxc63WexTdvN8XPOKFjxk2+8wFR
q4usYpsnsOKKlAlZGe6NTdHSuXA6XtBQ1Xc+j+F9Itv4g5kCKgeHn/toZ5+6SSUwleS4kVVpbTFA
lTvDrpxTht/pMcKDcmh9Wns5OOl57SzEW9aYfa4Zx0hv7ZNVZ8e59EFouD2Yi1rV5T6ln/yxNQy4
0LOvfwWktC+QmsY1HL+1Ixg8+0BOujrmCxVyxyE5/pp7F3tHSV0BeB7HP1PCxNDFojTNw2HUmk8n
c6kRmt3GuZp6qz1Wipk+Q5Y7pGk9HmsiSbxN6uxu9K3pBtg1EEhQCtPVqAamQn+U88+UwitlYbQ0
+dmF/8TmF8UVenTodqXNnZgOu7HO9K3JJP+Ta6o9tLJZHyZvTdD19M1VTn/duRyi0k2rNKwplIoO
RRXER2lMBxpDskMpBWhYq2b5kbm1fGbcbVhQTB0J9/XOAT1z23RO9tu3RIAiWdHOPaXzO6ha96Gs
JsAUuki7sDHtqaMxqTfCxOG4ZHNzcKr8NJoQJkVu0ECY2ejnmfLBMjhVybCjFfbeIqSAJi6dqyHn
ftp7dvM2tvrFM4ifUT7gOQ95YMsjkDR1n+s2iyNdFEShyuytATD3Bs8d1nOPKW20RmNnl5O5r51l
fUYNRg2VAxfe5NyJxnFxrACiqXVz01hTj+vdA68XjyH+DfsyOabBIBXMW9Oh/bI0JVvzdkiu2i6m
IpGH8Z5AH+OdGxdXHFQQR2fpv5IQq8Eutg1lghZar2nEqEKY3xA4B/XkulBxx64iEdEEvXPrxxgj
AX660/WYaxij+nbaVFYJMlDG0MDnuDYvykhruWObdqKmr3vXUl9/ctxGEvGjwfZ5RrwPzTizXhuV
6gcP4By/VQi3Nf2TwCZiSTwgTymXVSNjyCgAyDmOw5wzZ94X5UefrsY3oiqDfYGci59h8qID50P1
0CD3MQ5F2k1u4XCwo/FVpjxYezy/SJeirg4YX4YwzXFdV7l3UzsRSCbJdUBuAsH1BiOAk1z0rC1P
nt76P7q07jTgdGGnNIiEXjTduQRod4REptBAR9gsi5NUaXQcqlSeyCixm5qq2X1xzcJ5dzKNGJHg
SRL3ycVrZH0Aa0YrOuULyU2knOkLNBN9MpnSf5M5pmV1Dpy7nvB96jqzpOxxysalYkkwU2viiHXk
V+MYZrfTrE4dGb2n38JPi7usc8xjQ9f7rtULOd3rGQptT5vE4EuKr5YEN5PU7MQm47CHGJylyQxs
hkvLvW4VmBEcNHaR/68f+ue/4oc2LPb9/0xWOH6202f5+e/d0H/7mn/EIxz8xjror3+Ynv8mKdh/
4IinkfA/SwrYoalPcRkgAHdZfwaI/26H9v5wl1oYfByE3Bd39b+gKDjefwzNL65ry6CkiNqX/08A
PTNMYZJVKg/poPm3no4OC4OsLPblnKZvsSv7d/ZW+Qkw93JRXuwwjrKtnZ41w7EdzOCEHCcfGZRI
VQ1eGrxUrBTezLH0buZZt5+xPHXXI+L3CSE3/ULft276xXvD7iM+uoXjwXXWg4RnuiHt70zNLDK6
ppc3sFTNJ9tLk2aTQIj6jb8Y35zv5k8mTL6tzx7mXArLuOsaizTDBOuc+aM4xctjxK2j9KXwne7c
ss190WuRXqdpsU8mRlZfC4aQfU+wg+CIXTOV8NE8Qeojg0JnpRY24dyPQuwjlIOWbhXfBImFcbZL
qq2tMkqmcVPvLF8VNMC1HlnpVN70hh9soatvfYFKgchN1tW262uL3fRZ8dAgWiuGG9scbGocs+xx
kLq8rmQ8wyZ0yxueXd2yjDY4N5vhIS+FPA0y0Fk26tCge+eGS1h+4zYKYLHCG21wxQypkB64i5v2
TjPRRXJ6pWhiogJStjW35F7On0HBrgoPFgTbHOnAFBz2OLFz6OLSObf48cEn1r/LUtawmGWL4q+K
bHzXpYpf5JKVmUTUPQVRH/2AcJihKK65C1CmZDAmzEzJydX7otsnltDfizXKYa+xDn/21EfKXtXe
44NJ7kiPRldE9BRyFKR5RBwfz9s8+8m26oOApUs+2YA/LRCmgLHwAOO4RE3Ax/zbWMIo0WAAitPp
cqAfsCqvrCW/wvnbPObAhdFKST52ifd7ojf8fhaS5nTlWtdw3bF/aaV8VSnzU+cH/auHfvNS6Vq8
7RahiVb4SzqM5m9NMSgWxF6hMPRND2Y4ntS9aabfQvgfjuNF13WLtjaw4rmYueVs+5Hq4QW6bBhE
1Kw+2ywm2OuBtR3PJ99AU+umM09N77aoqcjQsmclOKWhJcfD1YCI9tl2PZAR0x7Zd/riqp3q7OSk
+c6MVXSstI5IkjVbi7WK/mvQhhNobVedm1hQKGK1rr9DItPePATBl7jOs1OZjeNHEbj65xgNaiPE
srXtfP8yWg2KXUDNi+vcJ8poHqxB4b3u8+EzJUjw4ihLHNqqt97roY5Pc48Is4h1noGBMaEoAR6P
2PKf1jf4YQJ3Y1t2fLFENQC9b+tbXIsdl+i6fo0CBxKRYMl1NNdFKkMSaE1KWaJBn9KQXkQDEk9h
xGHG6XBrWg4pfiUqXq9eEEcaTGN8cfFVnfsKupU3a9V15KGWuDI1b5OZlWZd9sZOovqeu8GjaxyB
04H5XNfudYYjiVxyLo2fiGj8Dy53+dNTeXANnE6xwCya2QgdqOkLXrBuoOd2cKdHVx+fkxZG6IES
AD0PS6fPvC2Sf7Al2b9Em63UYTcZNGLbl4STzNIDHckYuIdkzzlYeQiRW2o+fZ9uZ7qfpOUNyX72
MB1L32jmTUs25d1jxYbRU7kQEjIWf/NmmmMNA1s+ctFpExfXaTuP4kqSDX6zbEF15ISR8V5pQ/nd
Ud2lwgg+3IfdMg5tyroT76rySaRzIIId9coUsYU60N57n0quWhuhWT6JbtO5yRpjfGuwDZVnsEGW
u6FQZTppo+6UB1n4rCL7ING+4kqZFT6Z2nvrhVP4uyD32zu97v1r4v3LoT1GEwcj41wSarIk6mIO
Uw/yDXsgpLZAe2fpgVmFSiboiZPRKdpiXHinxyQx6za0dK25GfOUYhClpKXwYRnTHHbamLaHicQ/
BQ/M6Y+JO0C5H8GKadzh2+5LR2vhqtu7LjiAwTHlYy107eK1c7Hvi1q2O68XMSJOU0yPepxxY6GB
q39HVSO/VyRjiSzQj3ayy9jihFmvIaLrnRMxO+bcEGLCTQP2xsw4T9y4T4YhiacgLajfLeaTVzb3
3YGd+gTszHZGLi6qyR+SzItee7aQ11wXfjeT1n46SfBgKwXtjqEN6zpVA+4ec3hw7kGYfkz+AGTT
BkfzYfc6vT8xROWTzpU22iQePRCxQRFnlPmzfxfDX8dhaBfsPDKvHfeIfHwDrSfkIcsDabPlJSge
5hy+z1rKGqyjxp3MclLSgpjb3RYgJ+EjzC/jDwypftmJKhm6icCbK0bnWssGeHRyte6B9XBOmpbz
uW/5ILzVWDufpsXgB0rDJEBilLwBK2FXIEKiaAC4FhvPfdeL66xw4IRlmp4mu9It0zdM+rxmb/US
2t3Cap8T1ikdWadzlefNq++mdC9RQQvULPIK0gvWaktsdUR1bln9u2blRrmBBM0LBEmeA3mEg8Nd
JJ1vSoygciMXlyO46v7CGWp86oacXkfd90/5aoqMvDnl7IXYEI44HmMcoKp/DxYvZTdYEWpwRoDK
W2yW+Apwgk++/lxAOvwxFjtmlJTBS7xYNPXFrMl2N+4Q1XBUCwkrm1omVv0QVMcfDl15m662z2Bx
gA7DYgadE6v60LKqPqFdI0az4rUeMftQHsypqH2Vq5UU20cLN5wcEw5/ohg20hvG02T1oGrD6kdd
valpskRsUrPQ32TR9o8VxrYfb/WxGmOEfa2dRu8htVJBp/oILrIlsk+aO6uyu2D1wsrVF2svFtlI
FhbphlTcg8vAPNstPtp2TLYoLvkXvysKzGbl1y/4DXgKIFjhfjfmh4yleY3/loXzJsa+Rta9LlG0
kAbijdlo+kudZlYfzr3tXbHcobBXRZ7HzX91/XqxiQM4w3uGV1Y48lZvMv7vIxQ/iG+ZiN4wDWK6
DihBQurlp4rprH7pIfrdyzEJtnmd8HtP27K7Q+2dr+fVk0wzZ/fQG3n9MPoRYplcrMvu6mIeF0Nz
Iib3Kg10rIQ2T7iJptzJO2opiRYDAzjdLpjcd+msSybaxRdNHiu9dVe3NPxw83MG0/eiNYuTGuug
fuO2ip8IMISGSIjiJ1TbdXI0VOx/ZtwKf5mmx0EfB6l8CQw18vOFF74FQhr/8plnj1gxgpcEyNNB
zPSOdZo0b7LZSq/z1f6tOTjBU5jvR560dXYoVpd4kS4E4irtgqsI8NtFrW7yeXWWJ1BOPsY8g86X
lzQw53VQ/ER9ih890uKveTWpx90cXKEO3AgA/adpNbKvN6H/NpvZv3eZ/d/DT7UAmLrVbPYP89mf
drN//PF/hhfNCJDA/tml8frzW0yf/+eu/fz+6cRf7o5/funf7GjmH77j2y44Mzq4/mJHs//QDZxF
uu0vuXqT1Pvfk/WE7vkCkrS2rQcIZ7yQv18djT90D/tUwAOWay1oqn/l7shF8T810xs0pBquCUQK
45Ll/Ac3WmLQLQFItNsTYhPUsrSxOGD6FrealuovfKCNV5/UVh623DauklXA8ssa2WtM0sfSNrH8
0zxNtnScbLa06F/zKoVFiGXuVVT2vXih8wq5TFuUM0JxtOTUprlVmoWhRqfcaVHZPLDloRT9cFuX
+suctkrb1OX4hIBVPMUwJ0BCehYsoyI9mnbtn122wqeWOM1dkSm8WFyzEfy6VfzDroIOaE6Ucazi
IJTw+YI6NOph2/vTfdBHiIlp4ubVGeHsAUoiYuOwCo+umIvHepUjaVEYHjE085yf7dFAal/FS5qD
ETLNVdS0Fn2T8iWkTnC8TMXWKoHiHQqCM9AWpFFosGZ7D86u/rZbqp0OMWUBA0BSNNVqntUXi2CE
VpOWpWInPYSgeJViyWgiy2qQmotb2nuRa2fNGX5LhufqRgniVEyFxhNG94VFitrL3tShjAkvvWtZ
GhisRRbmEux+TW1iDyfLhYy7aaIW2Fa+Cspi0ZbdRWUmtofgHK3iczDpT3ZXJe+MG/F3v2jUSu+8
m2IVrjuq6nYEkpCznaIeWa+icS92NDyJi/KdDw2bUunwXM+5A5OSTVDonEUvjxfl3FpF9HnR07nM
a8TB9FI/w7/JMBvkZihXEZ7FtsA3ZSHN1z1PJnbEDOqLcu+g55g0a43eWQOQemWX2a8eVAHdhCQK
iV9XPKsWHwC0dozwEzER+F8gFDCEhenqGogXA4FeKTwki6kgzgv/1V6dBsbqOhCLASFZrAgengTL
qPRNwF6S3aITb6FqJwcoDrgY5GJocHE21KvHgebRK2exPbBHCt7bNk+uY9q4aP6YZnFopOf/Ipji
QnYnnPE2tAiKG810lNy4SazwFNnoG1hoSgHcnr2oH+oiT+szgCrt4Plzw/Cdx90Vl0HoDGX54Kcj
SdDKsBtiuQDgait4ym17eCdmV4Z6PfB+D0bfEcTxuszf+wRDrSP1cvMna4xevPZ6JeBBKeGBZBY4
+jfK0MbxpHsUqTBa43qGjq0n5cmA4xujDQ/ijf4e1TA5xrLaV1yK1BUMNnjjAoltDHUSTmJvZy79
qUIbjVus34a3qd3Wfbe4W3KDYHNNrCIqevuVh2Gj3QDYEe2eay9pXcXOzNnaC0sxJI1sOftxQmXa
popfNK6Q0lkEfTMu1Q3L9ri/hk4zwqMGHM4iJ+C/ehA+gRw4E5HBzpl3F1EPWEtqH8UYKsMEHRSA
5ETsBNrUWB2ZluSTnubOCfBl3DxmXTX5u0STQfozAmNGTqg6PthOTfQLYFGOlCd6k3Bwmv3koyTm
akVRW29Q3PFoxQ62T+z0M2y1ztfgCXC7jehgnPPfbZA2OH6sEeUyrbPuxDsTL2udmB4ifWvfoxKU
N2XpON+upqDm2IEXJOceVecLeGnLwE7VwTJnKUyL/NWe79h8LgnRP4N6JuOpZ7Q55JlNYadeN3Eo
/NoLPSdhHzSzQiTq4dA5tMkEe5UNB6TXwUjtmyrkW0TqS+pI4y8ZBje5ygibp3hy3wegqNdD5pSv
FcN9ASF2nG760czocbECtWlreGmcQ7G2pcBupHpKjtdD0AR3ESW/SeinItinmqvuHdXTaSJK86EY
SsEQLx2KGrMyrk5RQ4fmps6VcaIQKblIOdJlobXNk1Ga1msh3XFvtGtQL3BPVMXFUOt5RBYIALr+
pWKK0yyNSiecvBr7uNif+4M+9cFVXUkN/l5nUVpHIBT/UFnfQpbqP3Vy2B/JaNgvnTDAtvdDutfb
IXrgaZn4h4bk41NlpOqrkYn9bQbG+DS2xbgnvPMYcCwREmu8oNuJoXpMe1vh7J1FfaYAk5OX3GR8
NIrG2hYdIjDriTRBgMMPG4L7TMTezxd7d5e77zGW02bbd2V3ydzJ/x0AF9+UhB5CPQoWJp0sPjyv
YM1VObo5HnWzpzR4QE/Ozbw60u6BFN2m443DHhV9qIKnsJ8MvmGpx8YPqSTtipZCS4RmGRv1FYua
uSasMFfPDVEP8Fqq4NlVDrV9qrnHAlml7YUdiE8Jy0SK9ANinX0/9JMFkS8LbssWCjqDs/+LR3N7
RVqqe08H+oagKqj6XKssvhRGgRTeTBxUDo6lhyIx+bO0h+CW1yI/6MPVXwAluCNqN2KguUDDMfMQ
cItc2Nle+gOBM38GXZDuxggT3Q2/vfKdxO+8VY6kuoDdJ2VIdrpNgMQPHqXiIpj9GyYXeuUhqL1N
ZPRCiI2JOMEjFhsaV9pdFlQDnzcP/oKhJ+69zo0a30cfTPdGr831Y4mYdCZL1n6YeFLA6tiIQJuo
agp/O7bVgKruws5xm8H+oDRiuFc56YETOn32Vo0xTQTEQnG06aldflXct35FVk6KGHYPhuyOC33K
TzXFbTDEg8fiHbQF50vunWtfkkqOgGJCy1tLoPjXOMx00pcDLYBJya4LvxdEW+nc2ykmUWfsOJn5
5RovGMGhH0rJhiXkqwuoCHHTbNAwk8M0j/I3LZ0Va4eBP+uW6H87oxxObKrqK9YJ3tnRkvqeSAsV
LJ03sRlz8iF9zsumPIim6C6JiPSD7mKsDlp6bRZQBJd1I6dcKnAhD2Opxm0fejR9i81AmPcVYjcI
jDYtyKHVWNY+mwAny65R1vSZTFr0C2wGIMquG8qYTyzWu8VTILI7Q3NahPS0wVjBl1PiUdRsewqv
K28bFikPDKZiq5LYZPGS+BAgSK/PvFm1KD6YQVp9BHRM83mjgZjmrBl6d5QN5ARRA97LSrpxmExt
+ZlNjnOxadb5tPq+2w0U6pK4sLXoAhXQgJViOBlRCsimwBhnjKu+Xr1KP25+zXqFv5gkoXOTCAcY
R0Dil1XxpNB5a8yzQc9ra9vKual8NAok9gSXfkOR886EHnHHqT9t29ajNZxhhwIPugjiZ/Yfy7kD
X8nuTCQOMApUPLawAbMtWj+QAEtNzYePd3cbI4LMt7SHOPa27lX/KWXl7DxE9Cosmiy7tRKztTfe
WBgZ8D9bX5j3nrqWLbbvsPP1+TmeZfAUwDQBsMk/ButF6HRrqXLYKhIkb3rgDOIxQ6q4w4pr5VA5
Lf9bMltS4AkJPtp3PJnhik/OWeQ0woIVlz6lkpZG8bMnWGHG/MyOeoKO7UgJSs8xWu+eDgmNIqxy
NB9dnjokluP+BRk8ebQwnN+NU8zcJpymu89N6Qx7PZidjpFEo2OElD2pj3aI3cfBDZJbYiFYeSh4
nm4dqyF5FyvroSE2yZPIqmLWDtqi2A+O9s2Jl+55Prt7NkPpD9Ua9ZZRyHkOVFAZ+07X3AediqWP
ak69JAwE2PqFJ8IGk3jXWbiV9555w3xX6K32VflFSohGtMnF7GRxoZLd+w2+LKmv5rir6HyB/Ppt
EUt8mUecstQMDBdUhSzZgqHU01BHvyj3LmLO4r7hFDo2TeEeyR9rz25M4eAu73Bq6ZIqyUK0dCNM
iU6brgPd0JgwToelmednnW5xEdr5ML3OpM3oDk3x13iT13hbUSRUyRhVfUWYg+pjSr6hWJRxcmH3
pZ+Mon9TuqRcKq4S9ltTzwsxqRiu9OUy5dZnJSz/lLQ1J48d2/fJCM7Vmcw43iTTSM3IYtawNPEC
LN/f2C2KC+9Ctq5d8LuioKlzrfakaOjdNTQR7W0kowOwxIpd3BT9RFrd3dpmxfk3BZi8W8XtUJP2
oYLcehgZEUjTqsG9iYOqulOlI05NWtMoN2nl0ejG7NLEXv9rzGR972kTtcgIJQOzi1c92Tz79q4/
dkfKAOMPxpkurALxkEBP3HQ9L3SaWdBCDqdtY6iiS+0MyaEOIKGouO+uSBHwpNYoIh2T8Re3B3ky
KvC1CEPkVIdylN9ZU+rjLh1z9pMkDT7SBtMGuUFXnkfeIKGmTe2lbUzJsEhlMCHM4XP2m++51pit
cjtaHqfcxmpoxSd3atvzRFnpgStQvB8wANBXP1n6dZDgTxKeY4UNW9JNGw/mPkFzuKd2ZfLDRqn2
4jaZvEIirU+TVjf0cIIJonbKicNcS90rq4qeeNvfu8g8A1wPax7tO9vL8CizmQoNoOqEW8Zgw68T
JyQgiAVvlIprgSKQhSl2uZfKUuJVj90g5Pbp9jxgm2fWpOozqakIxMeOaUVH1YFI43pHEgL2qYrA
jRx0SBkcb6ma311Tv6WnoL3F+Eggv5PH3rBaJsAeqqSeWz3kDJgIZeY4b91UDV/13F0XIm8u+FCo
mzV0/K0JBvUvM4j0r5hxI8Q4XuFWnHyEWG2+DBXVj2lOKrYQ/L8tqlExnJj9vslj8BJ2qzmnYi7M
m8r1xifpMZtPXSbhMuSafG8WToikO3VXLuwQOVndF/gJqo8DyCLOwhiJYgd0gi/1/Wj7PN0WFom1
UEn8EooYGk4MrGRYwSVMI3c578ZmhzuQrEuF/WXXADmlijvrSxmyVqROazSw27jc2rgNaxi1SVgb
FLdo0FO8PJLekweGRZHhLktuJtIUoVyoK62pjVaYLSyWdE7KD+JueKt7y8yJgxO6j+/wrVK1lAwV
43dW3FWpZX6YsPxvzTQ3vrtUw9C3wARSNFrDOvXcbvYu/Tr6xptV8pLh+6FX1iep8VjXXVkeYTr5
O7yVsqYOAfbMIGooNGyATqrvTO4LC6XGyHLTPS4Lkk/oaHA6VqCNPSgXGMAKupGl1B6NhX4jFw4O
z5f6Ee+s/DQXSo7WwcsBk/WB4VBcrBWmky9cHX1kz8K9DtiOG8HdaRYCT7fCeGKFMBVaK6TH7ExA
HHKF91gryMcfi9J/SVfAT81T0wLSmC8jY3w1jvU+GduUH4QMQANRzQMmKF2IQfXCDvJnO3rVVQFQ
SKxwIcDQxPLLpD2zwQE+5KcNcCqzVvkZe7NFvW8k58dSGoN7RRWp7C7VyjKaF6xRMkKLm9hKHNAT
38kF0WrYcH074O2wSF7PCXwkyyC9x6Wz/QhWftI4omZnNK/RUG5pT7Uf+VcAlLuQERIj84Jh4iMH
kYkjHzpTg6Hy1liQTXna+69sZvSNxvOISRqsU0mn4o0TAJGDUhXzYVoAUKpZFucLFArnMXyohorv
gPUDEF56xUD1bggrtg4THwsDcGkmrCm3Hh2DNDsIKgQCaFTjn2SqHOb5xlc13ZCc69gb65VkZXWA
HC656CF/JTQJMQ5Dclma9woJS3YlYtF1BR1r8AZ922aO9EK7rfs3K2qWUbmrwGQAhM+fMtaBi3UT
7Fa5EriSAvkgFAVvTCBdQeaeG6ewP2Nt4dUiIaowg5zChMMjavIc9A5bFOo8BrX7leVG/eoWhv82
u/izMeAJ7a7yQcKEnU1xEUJTN+39CUw5FvK+PTGJ5/thrrM8jKa+43pHdxlY9lTWtPAJP/6wG6gk
JUykmzwqfUSgFWcmvd7bOonv/HLZf4AHRpi8YO/PqKFj5nkj4dW1yNVgANKFl1ZQOXEE0oNtdcWp
lVreHMfIagiXwYsfQjOIkR2N1i2vyLUTTehWTFthZXYNcX3RliKz0AbSqCvjjTQhvLe+MEAODJ6N
hzyP1PvgLmy4aMXErcQ4t1cB37VHzBQBR840OQYTC7QhY0ruc2E8+R4Ro50tfZc5YQHTuR3mjk3s
wKszMUGwt1gxdhPV9VpYDDbKfrCQ7tIVesfb0/W32Z80PIoa47ckkR3YE9OFfE/kd1/6OHXY1ubf
ZVOY10T10YnzrAeOVnT0bN0mK4ovcNLXZtTRxyH6uXybK7cv0zyIJsCm4QyD0irPcsX9ydZvsB8O
cfAEZofbPM50fTO5RvoVTaNkD2JicLjinEgIr+hGzRs0cwrj5KumLelRDAYL1XQhEiap8n61Tt8+
566JtpRRpVNsiMWxEEikN4UxHmpCCivrMENlpsxgZSCCwvIuymzZlWLR929SfNkd8wTZjY23chSL
lamYlZjUt87KWsz/5C6KHvf2kAz1TVrkivz1lKl3N6LvfV7AjXySYDi2OjjHGMRJf1WTxHOYlz14
rtgT4++IuJ/Y07SdLk2imE1DHkucK2qlSMK2tM9AWGdzAy0PmMTIY5KWM+LJ1FXTQq+Z5M1xGuvT
1VRqgDa5RWpxWLeqiXdzXuXpzhTJfL8kbmr8503ZcmUKum2j85nf0dgeXY+KitOwlRRKN3q6iNhZ
wfoLRB2yN6cqfE0f0qZWjXp/Na38TW2pVyHZt3A5k1ZnmdR5LufADHLrppsl032+QD0pfsOBQYiS
ULpv5RR2VSsDVB9jlkVTxQuOtYUS2sGgjvZ5YfweMs1/aH3PYPOYulhgtIpMMRZkMPQOiQOqc3OA
97uOYxMzmmy0+5irhv9iJjMEKncgUeunGFn8ERbjnmu9nfymw3z6yBnIaJVIyJ2xxbUhhZUO0cvR
A0qU+9PR8xEQ9nhcvZc66esLOLf4JS3EYnv26/Qub/K3WrOiHfQ/LzulPER2UW9K9Fk5RNteReUn
go72XSX19JQSJqROoKKoGghMLadLzqMQerCfAzs10RUpRFp22dkQ/GKYa7/01C+eZ0iZVD3UY7fj
sibOmoHYBD9j+Y5k1FuQpJasjCA1YyzxGbYW1l6xULiw0rGJMjn9XadDGyUdU1l4xL1xPlq8cR9k
M9YP0az4BKyJHbGEd9o1xyOXSA8GPUNB/yXoM6+Zn3lc8j8FLBDWMmsuKFozQv6aF8KURHYoIsmS
3rBsIFM0z0u+CPQMWaNuzR2xzfShvSxxJPorH+m9oxJNGdMnLY47awkv1TqEUbKUJJoQZMBGLjEn
ZjJF5Am8sftIbpOlxZqJSlo3fmpNw39iFo3nUF/zU/qapSKL3by6nl79DkwmZ5QX9gCh3+nFj0nw
OQv9JZyFq4Jlf9MnhE6W8Ja95rjKNdP1v/rsf8nU6xq2b9r6P9VoQyHYeSRd/Nn+VaH9ty/+m0qL
jxchFrQEcGNcpy7Qjj8dvuBECIOgt3qk8HTDWf7m7zKt/QeiLg5erLzEB1zj32Raw/vDY/YPfEa3
Pw3A/4pM6wVLm89fysF8sEIgyIC8EcIOKA/6SzmYHqU8fdNB7T27EiYiSdeGI3XGIAKDkjPb4pqU
7tqMjxMp9GW/iHuRJ5WtTJQx6UpW7WCbr8rRQGbrKx5ufVQ0V47n5Y/4NbQnB3DoKVbVcOcWpbiA
AeL23DpecQBWEew8Ii8b9tNkowB2s++jtRMBTFjiyEU0f5ljokJhlJf+JSbkjKHGdFkp4Sy7d1VV
mNQGPMY9M9WsMdMUvb8xB+gXkOPai/Bp3FU+m+09B3WfMdnFUhKxnwChl+bYEB9cNqQs+PTHiALR
N4bF+BHERLl1dTP9ougjvp7yhuqjifs6jrfA+VACo5aU1ECN5ggHl/2+k5qg5lqLJGaVGplJ+CAq
71TX0V88k0QrKYnE8KYusc79xqDPmKKC1txz6YzD/8femTRnraTb+q+cuHNVSEq1gzPx18gt2GAw
7IkC2KC+V6r79ecRu+KWnQdw3BzfKbUrrU/Sm8p8c61nOZI21dZ41tcgQzR8UTcSIfUYZMVtl3rF
19kLt4VVehn+DSwy+cBBH/323A9jJibfsK1jYu/yZpeOQcgS7cJEh4ZuObGvcx7AAcCzc8BeM93Q
Jf64Am6Lj769ZAXpCvXCgWBNR2aDWXxKcV+II/5D/056c/4lq53qu4mNLIx6zquMiw7owHZhhutA
Z36PIXYHwlurarO5D9PIctjD2sEHUeDttr05uRuDObxGsdTiQWZTfqhkyeLIWzK6vMInMLM3mvQT
SSs454Rpp5di2H2lq6BPWLCcCQ9QA2DQsAqBnoaCKmTTE8bZZZma8m++onN6FnazXEpsjxEL4dXF
d+KtJ7sFIg+7IWCJwYQ9fBgdYd8XOGhvY08OjylZ118SmtU5X2C21zdjwqt48NlffOsqd/2M96+x
WFb7eD3CvG//suRYEz9sAdDEI1X37y2WQPdInVBlbu0c3uZFM0A0BdpG/zElIpkvZP8QePXycYBH
2pM1YhrfZZvDVwgsq/9Em6Si2e81UQCQDIGYHc6PbIY57UjQWXL+NbKTuZxt2p0XtL5rYqiIDoLv
RQDTyFlpks7zx9Djq+iOzXYlrHqv26JjIZAa08FpPVbPpgXVgajqBTYgyLWvCcW1/19RMtKzQF9H
DxUR08mZvOBqAkJ8XxKZUl3YTrmYT0m3mp88Xrn1ZHYNrkd8urulHhxMJNbAZVHUmRyHwxyxLvwu
SC63IQXVHXvf49LePs/JcrLiBrTdLL5BvAiyg1nk/VfXX4iCdSxn+bzQqzx2koR59lXzI3E/7S2y
o/iycB1U/LCQCUhKYPglflaeunUZnrYBG/YxGUbnZAc0C/MFMbdvbsg0xertp7AY54pVoDAmDeZy
XVOOhdft1NArwf+27Efa4KIlC3Csl378MbRzorTYOodHrwi9gwEe2GbL12ONnpOKRdZWo8tz2EZb
h2pequZkE/sCCyjtsu+5bNMPm5+muIqsgo7kSKsEP7I9fzIoFOvc2Tgh4QCzoMbokCKIM0aDxkCG
TOMCHFl3366E1p6xNLOmr7Z2OVpGi2qRA39O7qUn33D2B5NhhVN+NVbD8GnY84dgwv9dVFOOO7ln
nsak7d2kULPBc0jDBQMXdh+gjuZ3W4CaF/vTMj05cdLfCryvny08GRzOuRWuJ5ucJ17YGOtbhQIX
cAGK9G9DHZSXSTV+M7vMaYFFTOhaAtvdpSRl97djJABSjF6ylK7Heb7LJPunQ+jStT+SUYvpzhhk
QAsZMj1cbbejfwfvMQUgmSeWOLJCH76vaELGw7z44CBavjLOVF32Vd9dx15Wv624UzT/W+KNjxWy
tTGyoRKllzRy7bOTeaOJXwoM3SGHJZdxDuG5nERJsJ/8ehNZK69m94NcieAa7JB9tIZhAOTMKvJu
JLbzfW1QbsOGC/RYzl33OfMHBJLYn4OHse3tj6vf4DOmCwoIPm3sD2E/dZ/8Jg+ugxyE3EXqjwbJ
cmT0vm3HoH6Lxsr/0BFGwe3OPV4ffwDycl5bUquPQzbdrf7obQdncRIEf2h9jwtouR9mZ1rBDVeY
CoQzLqroNFiDz+PCuRAfKHu4o27d6jJ2EHZc9LPrPTI39bdTFeZv5rixz4Jz4eMS26l7WIx+29i/
ZEZ64GzAOhsQTW7zNfaf1n17VBJW9rZA5XgobUws4dxk9wSH1virLQtmodccrCbtPgIELz60oWiP
HAp8bk1fPEI1cu6LciW4q8jFJe0Q87ED4P6dM1h0L6zI5RFWtLgimQk2QMr27BHlEvCjJntscFTc
x4BOj8Va+x1HeXlxT+SydcBwjrxmXmskm3zvtvQEfLXGisJtI5rUzx02l+CG9zehFO2XLKjj89LI
xN3tMvIwbM0MiomcuxFW4SUq+e0bHYXsCNgo71FKkLXbAIC8rVqS0NvZy0gZ7z/T2NkizqAWTg3I
1/axE3yJ5UqDCanHu8Cf64ie6q4ySutzRw6iRw6ubZzquQuOq0xFfbAH2pN3Phjqv8qUaNWdzbEE
JxNxeHmue9O5KhMAg4eB4IMrYnbHRxyMzWVt9OldWJj9aQQCTs0lOVvf5qeV0BERMGp5aLB+P7p8
Wh5Av4jkMMwzhr+0IOCpMecBqWk+3wUDmYYnZgSCsZsY67452SC6ZXtvyRBFxohu5JaQOe+9cNMV
vKpTgDobBFKnYAnerLBSxpt6iEEthsiC7rzcL7+0axh/llC13o3ICX/02FjZQa0sJdB0t2RbWZwK
zPxLb+D9TWRd3mcoZNjfCh7xhVXNMRYctA0cyzfrk725kEyKtb1HAowN04HDQLdvsMQXj36oB9os
ST96P9U6u4nFeLO4fXrjJPl2HNw5jiOR+pzV5plc56sw9gfUNbgtniaDiqyrbHrncyAdjUVlvZ1x
rQHMdveoAmkwPXi1n0TEeYyfQQw1D/1PUZGNV/Oa1kd346XwrC62pMpv/VWst7TAZkIHhCEfWMDO
CBB3cRJwFroDwJnItcPPJhD2LN2TsPP2PhxyQuq8fnsToFZGA+M6DgyxrueJ9n22VRdr5f/dYPeq
LsbUXt8YU1xfh8gRI3wKC0HgkGbxdfneN8xOo3UMemf9gm2Fs7ahqgmYXdvpK129PDiHYpDnuUjD
y1xu88NUQJP+51dCvq8PrdNNn8PJfxS7bGsG1QCnvtlNH1mNa32PueTA/YNblO9KDvCOyy77CkmS
pWbpMtCyn4yorpArHYxdL4FfmAdPgE/41Fo9XxCSd5Li4P0UlPl2ID7mENVuQ6tp3nGQ5r2bKq+9
Y/MCh4Rjxk/Y69yd2D8E34pdq0ZCJ7SuxeNsG+82XB9klQtnzqu5XjeLmNbLIrQInkfIY5Vw8ZL1
csQS/i0ukz6Ka9Pjc/UTHJS0fttwgh+Eb+ouAaXKl+u7gebje5Jw1H6afvKH5E8WkVfxrLEFcGgd
2U2YfZhIR6QZVMKy2BFGZljF4jztYCOb/uNHq+Awz1/t8k1NU+4ebf74HbQKH98+zungS1QQ05wA
e6ax8hVTzXDn7xSlfp5urG7HF6TV5H0BV0zoEic5KY7IGL3VwfZWCTffFm+Dwp85dEjoMqU/aU1D
6SJGN39SnOQOdFqmbthDkID/YtSz3U/obdDpyW6kA2Nm/XzRmWb7DRbEeDmDk71raAc+ZNXcPfUE
v/09dMCkSgAAHydrP9pe1iW5Cic5jGdrXhoiaeAqXhnhzqMq6DNfYtQDUoUOyrpw13T8C74ZzkDg
NwC4U0HcDMAAMPXoavJbtgTZJT4R+7JdkOXT1snDk7Uzsdx1x2OlP1FZoq1w6udENVocSJP5jlly
uK6qPPYu8Mdl5dGOreYeTcx2SULAfoOFzCNyEPLL4B80l2HZ7xLezMvZ8uqvQbMhV2KXPfIXRFUe
pSOM9+bO+apKq3/CZbNeFTsBzOR8aUWjARestQaX/2UyWWIYdnNDa6m9BTCAjBRHIs5+fI/5l6oB
Nndpj1ny1m4qfgLnlj5Y6J1AJsPqRz8KD25mWUUzkbH3BqxLUB9A9pAvI/RI0gWON/tK8zF34/Dd
YtOKxAgJebtcJa4Y0EgsSGg4DddD5gb20dscQAGAH9vLYexMQGA1dGu/BPvPR5m+72U/DjwalvHY
gdabyZ3765Ev0pes8BbvUGfxEF8Q5OXT27P8EiTcOMYcj7vjckaSQ1OqGGBwX/T4vNizFbuf3Ulv
hp0n1xcTsMAAIOS2LBU5CVVdtbsnqg8O0Euyq5AG6/clKZq7pP+ZAJzE4QPqETwv7r6nGDncJYaQ
rzjnlVb/lp64uK28kQAQc6ovp8JHkQLIpzsndbV8dGyOZyO6882V0U3xX7TM9waWt5W04J3OvhJ9
T2AlolgALZM/02b//82sZ82sbw1Huj0Y3SRrXmRvWdYf87qu6r+zl+70/b//p3MV+v9yLLawrgsn
kMQuD3f4P50rL/gXik5cBKZLwwh3Nk2lf3euhI+LwPcwdppeiAku/E9Ul/cv3zMdWr2+7TuWF4b/
T9F9jPOsb0VTA0o2bqufiX7PctyHeOFgKKM9m1rH0H1LoO0zq8X9P52v/6olJ9JZPQ7//X9+N+7+
78/GDe1sIglz8U8jHfr0YtvW9YlO0/JGb3ju8vPhWQkX67zU/intu75/N3usugg63Zoffx5/N1X8
p533n9tCL/H5+GG1FYEsYu9E73jYHlqrCk3CfXLXQkdj0iVzRDfG5z//sd/dq72n+OxeDTz7fE4g
Ci2sabGGIaand7F6wV9/Hv+lg+Q/P0YJYfPDzmxzAKgnabXOnWXNDuw2jnVgywS4SCPD37z+olq7
9t2f/+BvflCwcxCe/aA2QNHOUaTH/hktxnWTypgEGbyK2T9obaxIYKt/8Xa9BCr831+0B7s//wMB
EA5zlMIln2zw52uP4377gEzbRtdfpLl9Z8mC9mQ3dPW6xws5VndGrT/1l3/+gdZ+637xfuwGpOcX
0PoVR47DSl8UCQmnCjYxbcIC5SY6yA1dMgO2latv3KIytQq6AU0T4KdMAru6/fMl/O4eK3agMlmr
qXRnbgHtgwPE/h++O2ev/L7fDb7nfD57gHSuPVgBo3uCgOJ/Mpu1wUQu87d6l77/1Wejl0gWvEFw
8FaILPtuNrCXayNj06k3vDI3AMJ0SXaDG1WOPovPuSM0nLwXvZknUGaGvpzztrU79zQ2xradTOzh
/dFrm8bXvHxlNrBJhwjWMmc2aAB2HnbyANsNljvhUe/+KNOBDVy4bugKR6CcfO9+yMC4f6zG0Xhl
7vzNy/OTgvLs8aJWlSDf3CDaGjRUa+IYHHFmBQchf77+/SX8Re35SvGTsOewgF9j7MUB/vO5t1rk
l/NKc6LLUifU/DNKiQsHD87cGsiTRk50L1lr18Ro11a5nNoMy4NeqamQ+a6ZulgsVRC1pMw9Fv2a
vq19L3zUu1dKIc+gt1BnuCHgrSVDo9r74jZx1qZ7KtygWF65Vb974vu/P3viKGmQJfttEPWlA9cA
e8vbMLEg3v35R/xuePFy+AYBKn32zYuk3yEGpVHgfCYeq33lY/K74ZWKlpOPfQLvZTSVPIGxJF3I
kQYJSHpXr9SzhGWzlmseRA4x3DwDQgUM2vtrtmn+AaWei9BwCXLj7qM/3xGCFnz3E7uUbb7X+gX7
wvX54/VtpJUWZJcoBIdFgssw3KPnR1P/5+F/s9bylHquwml2c7jqUYUNMX7nkz+H7JUcRPMaj0Xo
P6xJI7yrP/+x3zxsT6lqH1JzaHJGHLXoG7PLEcncziKoZlOvnj3lu7zQffBGu/cjsmMw6QyVPQE9
kk7/2rd5vy2/mP48paTXJE/MauZ9goTcEvuQkPx1Xxnb5F0nqMfonCX2Wn/CKin+knUy16/cud+t
eTylyku04X6zzcy7ZVC216kxxD4re5o7JF2Mc+6MFzWKIbDQqddWZ+BSiX/0yMhr3tMs8KTmDVZm
A/Rjhh8U+BIr35BHgcw9CvxSvPIyWntZ/ur22i9fdpd+ZNbZXRgJc+ub04YjEBl9TPTcJY17f32b
DFXzozWcubp0tqCm8SaEXd/ZfhDkn6Alu+4rl/K7V1WZOAgvcNtmzpyo9eNBHLwt/N4uC3RUvUpQ
po2yF54FuMmPaDnPUTKS9wOHJUj+1hreVSYNidoRxkXioHJbgs8un9I3mDYqvTnbVeaMTiSwoQ0/
jNySncxBWgFAHzQK6/DKW/abKnOVeWLIyPeylz6IxhVu9lXg9D3Wxdai4lI75QipRg/Gme7mtck3
+nKDrfdYVJu/mGsYnXbvRV6A8ZZoLRvB7iodUiL1Howyf4AUKzqJiewkQSKewO8nx81rjKPe6Mok
4eGCrPNu2aKBg8toq8FIe32bvzIH/aYkXKX2PYw3xsKnARRLxlEx5skjXFVb86VSSp9dD/iwjDN5
m30jiFPrqQYLrvlclWq2PLiknA4AmUYKfwdj0mQt0KVWrjm+Us5pLsdW9MjVCTcLr+xpKY4xJ2SR
1mN1lGoW7eS2IycO0RjTgp0FTdKBVGe9a3eUag5qYgMmn8dq7I4JGDbEVhR0i/WuXSnl3DR6c46H
DbdeVp6HsE5oDjvb+c+j72Xzi++Fo3zv69hNUTmif5oN9zvbzmI6OyOnctGIMFvzFyglK9DZ13kR
z5GgcN+FSD9PQJALve24o5QsIhzhzJs3R43jeldB6Mpjvtaa042jlKw1VmVMHB1q56F0brKy8u8w
YGheulKxfKjjgvOJMeqaPLYOvYsO1sfDkerNZo5StG6cDMRX0OZp62y5LghXxJ0dl5pFpZQs/VFj
smQ+nkkVmof3AnxW+dYFupnqvTdCqVog/FOHBW1hSSi3Q9G6n9cQuO2fX/zfzMVCKVoXnxK8nHg6
degCOHuWIJZDztz0RleKVrS5Y8f5HgddG597wI8XNWIavccqlJot2q03jMH796U7uAk4zcQnp3fp
arW6QYxEx5pOIb75i92rsCP/dUdXqrUwpzYGWzqdlhzMvAwKeYH8O9e8dqVaU8cNiBE1Gd2xvyNR
Ks9Jlmh2toT9cmlNBFkJm4TBw02Cn/HDnp2Xt+itDfZDlOe7VHiGfgyWdDq5YzyDR5lsJOrxqPeJ
EkqtVmlr140w5ameOLWf0+w7h8qW3l23lTodtn5sm3SWp6pIwQo67mcDrIrm4EqdmrHLGTTm0JPf
mfVxWLIvGH8GzcGVMu2GEPQrIrUT0QaQxYkHupC97WuOrtSpL3JM0EbIpYfSuhs4HrmP/aTUO6La
sV4vXhjpEHbByNGGWW4guS/w3CPiOJxkWhOBrZSqTbBIBTV+ioBI4iLGL+pG7WyP3/SGV2qVZC27
R3fGlzUeyuswH6wj8QHrSW90++XdkX3cClSHMhpD8ZeV2w+DIx70hlYrdVjzal2NMcpS4w3T4+fV
BmukN7ZSp2FGbIpV+yMIvzQ4glF9bArUslqDW0qd1sVg9GEgZWRkIyH2uX/r252pd+WWUqccC8/t
QFLCqS6Xv7OVtCG3utG7bqVKAxA8Bt/rNWJYMiw3e0ixXw4i0Zt6LaVOp8SVaeEQ6xTiiPjkoI2H
Npptlt5Kw1IKVXalbZZxI0k86Ldjs/hfU/BHmrddKdIY4QS44F5G7toT8laR7ACB65WT132QX2wO
djHA8ykmhPeUtUY1Rk0/higLE+uuNOL2Se+xKiVqj/bYj33G65gSh4Qg/JMfZJqPVKnRzWnCPE4L
GfXovC6sYPlcdsG93nUrNerMzjJngrGNfHgkbuEOrNid1tCmUqEN0sZkFKRhmLEB1SGHf76Zmv0B
1dtjWW0LFBu1qmeGb0m8/Rz0AIn1LlwpUSNlnd5DGojKtH5oCMOJq1RvJjeV6nTaeRULDfxTs5Ei
MNs3jqv3BTWVwmxXd/Salr0disDboFkiXHh6x6ymUpYZMsZUSi66xQA5Sew5H/VutFKS5W492Qoe
opMWX/slfAg2T2+eMpV6lEQcLutM4tQ65Nbjto5IgqUYjnoXrlSkqElAwus/RoOBlMCui8swDj/p
ja1UZFFmg+tjAT+Rw7Vjn70vZLvqfdiIuX45CfJid10JqDBKM2+5cLHuHMPQn7QKxwGz+mKKDQDR
jw5UJ+AM73tCL+li69wT+H0vB04TvKldCplUBog5YAu0F1bnPeoNrtTkzHnXutbxcLLSFuoNZ/uk
b45ab4qjarp6Kc3CKBk8KN17IdtvmQMVQO/ClboMHXc1uwCSXl+Je5exFznpjq2UpjVnvhCLRdvY
FuatJKvtunMWT/OuKNWZDs4E4VnyorgbYbYmvDRo9np3RanNJZTOjMtpjMCljdCinNhrjrjPrUxr
anFCpUDbuXJizmrGCF/HF2Oenjh8+KB17apYaxLC7D3BfcFq5GIbKzASBLavtY6gIfSyivp08ulH
L1z4stzLxrxGh61ZoaoIK8f5Cp1LDEAMxF2J4PAU+L6td8f3XKLnSzeZgOEP5TRGZgt/3igPOf4S
vTuufDZ716jXRFRDBBrAPsB8I7/OyX/oDa4U6MqJwhBUUDqmHVc5ENjtu+/1hlbqE+k6yQi2QVSE
Ve6eJ78713CLtJYpWMZf3vDGnetwQisUcYS0EQ7avPHhuehNW4FSoLK1B0x8cx+BxsJ8PMjeuDGI
RXmnd2eU8pwNwazoSJ7otP49sIJbhuCr1tCqmmrkw5O26PyxCyTvlra9MqtK7z1UhVRTHBReXjp9
tE0kguDAsI9GWX/Tu27l85kBYyLfpRiiMG0PhbO+IR/qlWXnXif/e1flqJKp2aAfPLV+H2ELceVF
73v5XeeRtz7nNtRavetXitQt6oXwV7ePykxgRHOejLZ41BtaKdEFxWPp+XFP/U/D5TQQpGNNjt5R
neMrVZrgV8x6YXPhjvVUTWSYOEb7Ue/KlRpNF/iTvZkOkWtnznzaBNY+SChlWuh9pH2lTkndIfk8
KHklFwPzjf2YdXp7ccdXarTM3I4NM0PHa/gwmtnbWHhax1COKpCCFAOiYVr7SMSVHRmBPT5YAMW1
lL6Oqo+ygWzBO+RNjM1t90x1kXA01WmkH7ycdaslxvgO1DsCKQwHd/LP3ZzodYdxPbwcfOwdKR1o
2BjbzZtptW9Kd9GrIVUFFc5JKfMOE5tPFi8MvPUmBPat97VQlU4hb4m52AWMLygbwurANY2a161U
Z0+ESuyRFxsNXvCUWf0DOSZamzhn5588X7HEi1MVOGP7yOPOkB6YYGlbiU3VKn1PqcyRMHojh8XD
uU3aHXq7eJBG+EFvbKU0TZN9Vu2aXZRkAnsejOnpJCG86t0YVYqUA9/bJnLxIhGuFRBKz3tXZuam
90RVKdKUu16M1q6LtrC3iTd13vAl1Ts9d1QZkjTqoCEtg9elCR0T5kmwFkN6AeKseOVj6vz6Y6rq
jdACm2FCIkOEd3L2CbRFthPHgPH0lnWu8h1dCymDvoohjRlD0eHzbKsfMvRnzU2ju/+uZ9pji5Rr
Zw6NNuoxjx6rxCNvmBjws9abqQqOfH+BFzCZbSQByB0IkidEjd2v3jzjKhU7lijwBlG30eD4YF6s
zS7gXC+AWfSuXqnZBTxWD8qtjeAMNwDvqg9Lael981ylZku7mSvDl9x3SGiX62CSeVw26aXWlat6
o0kQg9iWcxvtbtcns4mTS8cPIBvpDa/sSgXzpAtUsI3COu6Gsy/3HD83bogb1PsDymeVw7iiqUl0
ZL8xzFd9H3xIu1KvN++okiMgNzYa476NfGd8nyXDA1Tl93rXrVQrQCrS2sqki/w6/KtuQNAAdn5N
W/ubqUYVGpEN6AeGxPks+jz4y+dQ4VICW9F8ZZQv62gay7oJt4mo1JCglqm7MFbD15vGHKVUe8IF
x7ZkdJfERcjo7XVRv6Zi+rkE/cWGRpUZddmCvC6wm2jyioQE6qrOmWzwj4OFqcKkuKzadX4vq6G8
EoMwvGhMyTZ/xOLmd/f0/4b+feiDIy84l2wuc6CUHvF/Gc34ZOkCc77YnLzrP8zEgsqDSfxR8aUh
J5fUdxaWEFxceu0nMGSLPJYWXbKDxyn1ckWgUJBHtg+g6ypucgzgpDD47icDZe96tkQ++EfhL4w5
l9m4nZMuhFRkQimS58q2F1gTUyWgHfuOE9+PjmfkXwfLhSuBkRvKfA8vvDi24waC0Zxc4jt9G/69
t5IWc5lYTRLeegFphAez2+z3dhDOZJR6/RV4/n6LzCYM1vNclZMDw9lJ3BNGZ/JpyTMCVJyUbQXz
fArD9RD0GdCFqsl662ausdZflYL44wgYPUnwriimq20zqjd9PZnO0TEn/N153Mfbe7IpG19vFeIo
E2a1OPjWpWgiz00buj4GbBcR6s03qtJLOPHKQrJso9Qje84p3sd+pnfdqs5r4iSGTFGu25VxNITl
dexaes1BocyS7rTTEeggkQNBOE1swOQOS6vRvCfK7qM3E+EVHNpFiZ3nF0vR/fDyXm/RJ5R5Msfe
OtWwJSO5yvYNbrDsshFjpTeVCWVNk3qZKWHsDhGwAOfWYf2K8l+On7XmeKFMlH2VTNPUTk1UBIn8
CGx3o5lfB6PmbVdmyq4GrNsAqI1CmsoXrp3fphsgO71rV1Y0cDos1wnaJlqbNq6OUHvyaOnMTHOX
o8q8rDqzNkPwRnpJ5S4nGyz2BqHdJfRH6weoUq+xIsOXSA4IdU75Y24dolwGPUeHYwcvl8KtnEFp
gdeKUjiokIIGfyFpKcztH3rXrpTr5HabmKTdRmUHLv/CbzrBGXtg23paDCAWL3/A3NalBWWaBYJp
ORfSn/NTlmWaCwRV79X6c5xvCZ9wzmjAK0rLO7RkMEd6N0ep2dnEKu1mdYOrlqAPT0w7eKvrCZHT
G1+p2iGvCSRuGqbhWvrwfIT5F3vaVa8VbCtFCzuw2wi/Ype2xstV7MQy8s3R13zplaq1YceF2f51
yrNqp24RpCFJTtCbcGzlw2r11kKKY9BExlqL7ylq8+9bJaGwaN14VfTl2oJU8RxUtuv5EwCZsIa+
E8+z+8rZ4W98dY4q/MLbCg+qDOoIsJzoH9uCFAhimWu7Pc5DYzxiOHtjGGGZH1nFFeEhIT3eO6eG
6zZ6T3/H4z7fQ2MK9kxJRFU0kyUVHIwqB0BRpXVb6m2jVYGYZwpiPLp9ZopHK76pSH30o7VbR1Pz
ISnf4w1mEfZau46EsOCLLnM+Oxc59C3NBZallLc3bCQX2PyBVRKekW7yCfX+N703TCltglCJQpBb
HYFfHQ5LIn5sI3w3vcGVyk66DUBjAR2Yte25JAnQtge9FsBPC+Wz1ktlGGYyQxCJiIobDoUBPx0j
yTu961aqekzLPrHmqY5i2QcnCZoc3CWQI63RVZ0YgPemBvJdRxnxtV+rHJZqb/C50Rtd+RAPpMk1
Tm1VEWutN9Cibsou0VIUOjtV+3mpJuDBHK9v6mhY7PSa0LzgAobRrPcRU6Vic0GY4lSIKhJF0CQX
eRB016kv61Tztitl6oRLI7zarCLfrXPi/oLLwrFWvTddlYwRfAWqLszqKHTS+XboK+fgj/n08Odn
ul/iL/boplKk4Vys02zxfS83p2PJbw5JeCpNQH0nj11drbfGUjVkwerFgSeSJjKlgN2VuiPM18Iw
w0bvW2wq3+LKyPas34x307Xfy9F8l1ix5muvlCwkizEglrrB8guROetp5W9ke2g9XtjqL9/8mpfR
KFAFniy/j99NhGe9r1NXz820p3W/qKuSUDdp2kO5z8HBQ0teaTTCldO66ULVkrV0FwjzrUsOw+lK
NF3wYDiwdf/8Zu6foP/9ZopQWTXLdaxXuWYlCgEQTgfMh93nrSQ6U3N8pWgB0sRxO/ZltPX+V3pH
d5WfPulduvJVdSYI5S4OQUyrTZxfdIOcvs8Cgq7e8ErNZmzf6jTebztJTDQch+Cq8lyp9boL+Gsv
XpnGzuWy9Vx8nKS0nSy7vQCpoveFEj+DBp59XENvA70+0H+z5tFaj3WGHuFAlnQ+aTVfoF68vPxg
mmOCOtMyskhkOQaJaRKmFMTvtG69qipbvYwO19wZx8Qiq+A6Ny3zjW23rnzl6n92Wn7x1qvCMs8R
9uJ5klfHI6jqbWdZtbzMiqnrz2zEpH2GpecRauOWS3O7Bw6SQ+LnXfXZtoRzlp69XfmOQaxVuJGh
QtPRIIazqt3FJpGTWOPDBtF9+9rEaybPNanYzUG6+fJNVI5zM5Ehdb1mZMOImNyscIOBkV6YVeZs
jylpaflDsXMqHussaIcjGzYHYmTVzweyJGXyJm+JvT/yXw/ZnbDjZvqmd9OVxQG6xs7eDcmnJLby
NxPQyVs7sxO9D6xQJXGNUbgN3dEishfzO7HhD6GV3OtduTLHsNdcK8Obi0hs6GxL27kiavI1kMY+
Ef7qVVFmGSmNKtkIx4i6FlbHVT+QLXMkcyHtjzM7hOTKC70y1equwet7WVZWF7qeMxFpYLSGd3KK
uTxvbZl80LtPypyTrjFg0F4U0URI8tGIt6cxt1+7T/vN/tV9UpYGlplksuhlEXmlzN6jqnbeBkSy
fVlyy3ils/m7P6FMOju2N7HbrjgNiyg8EKtdD7h66mm2X2UzjrZXNtW/eeSqag55QiInrySqOBuL
4izdxUIdZpSnrILcf0DRrddVIpPm5fNOUnoncV9y02rbQOjmPTERaX7AfKWgDYAjNALqIrI4jhvF
fB6F9coE/ZsnoYrofIGWc8ODS7xb549XYTm45yYIOfcHuV2aWuoC4e9//dlXzGVsLyNUBUwHIEG8
7smnsPP1rK3CVwp7WMMuIxw6j3zfHc9oroOLOLX0NitCFdJNGa1IIa00ypzAObfTWh2DMNPax5HM
8vLGmF5LGjeRoUdryq7NmOCpxtO850oZk0Nbkv/A0NvmnOKwO5PnrrU/FKqGboW6lg1hQdxAZt8Q
z3jTeXpdPKFq6JAV7iDcLD62+dxd50SJRoYr3mtNm6qELnb9dFqFwctuJcOpbcnaXsPSOeuNrlSp
GRZ97JpGFvnZ0N6gen3qEvK29QbfZ7hnFZR4fmJMtswiIiLKswzH+tLsSj0pqlBldMa6cJ5S9VmU
5Xl3bFPiSv1+OOldulKeS252pG424XGsiJk82/b8oe2LQq+pCC785Z1Jm3DsSqcOj/XUvSnKJsr7
Ru8jrkrp1pTYqiphIVWOkO6JPDYPW+m+MvPuP/8Xn1lVSTehzt9w+FFEw9SQqdIfWg+isN49Vz6w
G5CeYRrbDNdStR7qpCUXKu7rUE+QBpD65U0PCSsiZckNMVrtEZRBGfc3zVJkej5IoarppFfHBJkQ
hVnNpHsXD6gAXrkzP1u1v7jvqpbO8TaCm+okjcgkF9ONCRMeg1ECOPQRUlITZW64CSKX9rgzj+7a
fOjGwp3Acbbeeu5kaHanrSW+9Uvlu/YUxYHIfK0OvFBVeIvRWXA3xn271BMjkAkzkKd0KIb6qPVe
qDK8muBWL7BSAm361GOCWnPiWVLXs4Te3kPV4fVjIbcpbuWJZJj2VAXOfGxDR6vTLFQZHks2V7Si
kidr537NbodT2/G19NVCVeG1/uQM8cjgk4TdXA5Od9GQD/TKa/ebaneVr7GTStzwspYnO7fagyis
/IKOxFe9p6pUOxmYgWmKeDxNdlpdBIaBgWtxTL1PjyrCS9Camo4hxlODsoYY9P9h7ky668axbP1X
auW4GAUCRPdWVQ5I3itd9ZZluZlwuQv2JEiABMFf//aNyJcrQpWOyKccVDlz4rBNsUFzcM7Z+5vL
u04y9/yqe39p+pV4Y1gsJneINKoeSbuXhzrw172Y5MWWDJxHPKIQ6w7wqKQPQCa0XwQBavx1t/5i
T9555Se3rPYwDAK0W/DhU58Ur3M9YcmLmLnTju1McXuo5TYfeeHgLx6BU/S6e3+xKTNP2Q7olz0w
31fouHJPkFdvr7z4iy158RMss2SwhyDjHbjgdgbM9pWxyssWPN4uImIT3vrew67Fu/AzmavXaQnZ
yxa8aDf9VHRsOZRQz+TaV1WG9fh1xXsQ4n+/a+6QQRT1isBKGvrF9uwtiJWvk1ezl61fVY+U8miS
BYCvmaSbocWhKNBG98fD5QfHxJfdX13cTrQdmTqKouPrQ7X0dX8MgnbzMZkNdsE//jE/WCVfdoIV
K5g0cYOH4FRF+Up5mQ3b8rpOMPbS78tUhXRO4OplOdS5QhtYpsfw7XW3/mK6tg2WA/QzzgezgS9V
91OT27543cb3shNMm4S4nvP5sLbLeuzBEAIVVe+v2/ledoKFHuToffZAplV7d4xt+w4ENP7KT0pf
jPmqT/YRuZ6DURV4bN3WZGhJfV3bP6r6v7/6IEH9k6oA7ryP5qzZwcllJrzOuQkK6N9fvUiSbo4B
GzzUbqqynYOsqWCTn79qxLzsAVvigJTzXKojqKf7007M9tyQ4c98638wlV52gRXM+3hBs/KBz0Cm
xueAw9D4z3KEP7r6i40VhBukq4PWxyRC6nyNvo7d8PS61/JiV21jGhfgZ8gjfL6KDlwvdCe6arMf
Xnf5F/M07kY27mTWR276AQ24zSaqGxEDhPy6ufrS7stYtSCKN/qobZw2ml515JWRGH2xr8KIa3KB
4tJ9gu3v3A8xvK4hkb3s/AIMoi4qOenjfrY+an2cZEml/OsCAvpimjakq9weRvAf2+JymM0DWMh/
sjP9aCS+mKOEo6mI9X2SC7Q/NEN0kwz1m1cNlf/W8gUboWpmQ5JTsLnii8R00F1Xvl/eve76L3LG
g4mnBqgzeUzGeIOFemKTq7NU78/8BM+T8R+cdF/2c9VRaxLlC3HsTWQvQTFb+zsLTHh5gE5VFqey
33116/binzhc/3JU/Uc/9MX0Bd+vGNZm6nBs3Tw42HFXd9Qc2hazrjtWxdZ2Keh7wNWkA5uwt29N
mAd5Gjsjqv6Ig3XT9mm3t2s4VUWIis+MebTdDQQtrW3KmrB7nyLIMdNNK2JlbldbAGN3AoZNgpk3
710Z1SlhumYlSM/SIBACotSYlOtpLD+bueoXIJpbWfcntrewe84DDvSyzMO0gjwOvnGzvYWFnF+B
N2yB+IHNd6g3EM1jvUQiSXWANXx7GZtWwPq+R87S9Sl0Bd2CG7RyHN4Z2uMg08hG/dybHv8ZLF9A
1gXafRlI7sPaZuvqaX2xhwWIS8TIzA6fRyRt5QI4YExin3IlyurjUCet/grUIkA/EHLu4wxM3Fw3
4cO5Se/S7H3YwECHdWHmfW3jNpcQThaHHSUbeohosdmsUBhpOluFD7zP6bpzch2rVehjzZe9hy5s
GsMlKAFnVKtZxW1DllrlpGaeZZUUE6Iw1atc9TDATbepFNOA/s1mrMrcaZz3ZYYMyVaOuLNpmGWq
qJDQjaz1RZFIhI1YS0S/XOFrjRXgnQqRXarjqOvzpR/op8n1Ivdh3+TXpd4DO5p55O3dPlMlnquJ
SnnHXMHYzV5UainzbodGJTlqv8RwRNiFXLpbKDQUvpepa4ObK8muy+VI4GqMaKwn495eBsE2D/Z8
X49lNq5IBp8kFEj6Kd7kZkPWDQlIYqWKzjaQ3dINPoKKZUfTFhx05LIuh4BvCU405Uik0ZNoBwWg
IbjWR9FWQzaKzfczsikhsus5slztNVlse/Az1qg7MZZL87RttBwUhsNIl2PDuN2ysawSCpfYKnQ5
zjWV+qgcG8Zrve04+FWcLNuceuOQzE+14pIignKOMQYgNGPNm7hVswCut2i364H6GFlt4uCttqPM
7NYS2i0SLAjefSVgska65QvtImhm5lUm5i0Iu7HKq8Ly5gvOPqrDpOmTcc1tw0d71y6kFE9oz5r6
YxMkZEJ6JCO/2nlE25u48u3+rR66cYFiBsz55G7CpK0Og6kCPZk+bqb3VdQrAmZ20paCp7JPtLkj
zrXxl6QpChXSotR9eeH9uvIrMtfJ+KHxAsB5eN4TqNFLz2INa2cuuq+FAye1BPG7VV84E5N5D3X5
XmWoLmHvgs5jDLfo6rMK/3iMkq9jM6/7qacmhKd2J3GcmQoz6WuTYJhfli3d75wm5ZHQSTX3al6k
OBBVm+pxaqttf/AQeNAIlWj4Bqj87EQsTta7Yfi5ReWmum7ExMLFODZdcTFRHc/Xy6QlzZqEJfSj
EjTR32LQhe8gIY+uUEbav0La0qeN52VewiAoyrd6V/4KDIl1B6VVsA+drhOdmw5KxzcyVN1wF5dF
HZ9Ak17CIZqqZrvUYSbiQoqtJe+JKNrisZp0aTITXARPxAb8b4hoegGQ37pbPt9asjtyYkaY7h3A
HcV4v3AtqyOp2lHmbmtWrJ2eq7k6on86nm9B5xVfO3gCDFmBlKG/rzYyYympxs0fBB+B7c0JqlXr
ddvA4PhYlIuBvCaSa/lUKauTU2+MEWCYRrP4UlW6MVk52NY1qRriggB0lLDtZLveutx5SqLcWeBp
06HbvfnInMYd5Bx4VtgZbriLOirtDCJ9ZIfDcLbkSWFot7d3k4cw7cDN7D9RErwAXq0E4zEDCkLc
IlwqvxeYwjJruor2YOZ6Pr4PE/iMMDjqe1iepazd9/rkHVSyTwF8uhkw6MnJDev9bvw4po3DNu1T
ZLxX+9UvK+PPQHDM2BBauNXoxw5XOX9I45b5AIgjKp1AWdOep9B+Dvyi07FuD+tasg5s0tip/dpv
tkTWYgPGSl+SIiBGhJKtqk4WlLUo3QFCjd4K3s40rxKxRMCtr7HOZdj35nkmO2suV7d7fbH0Y1Tk
k6dFuGGA5TwQkGTrt8gc0dCmddc5fYRrfOmudIsTzF1ASkwdk7bGfueKgk/o806q7aYvSdNm4z7H
LkvMLIGTFrMtag/13G7jR0faHmKMIXEOTGoi6eWIknFzN8LprgZyPCQA6MBXPJ38rONTzLR199xO
0fCZ1pvqbkTHLMbYUPVd9Y11asdI6GHZZg9jqer1iCfbmgPv28S+E+1aFVe2rBt2gohWdLfLTAH4
OmA56kQOLhMrvu+wSoanua0afmnHuizR2wwFFsaIgo/SVdW4YC6BCGfoGaboISYHa0A9TFcXBvoW
P1OB4VuBk9zBNB6adE2rMckm2C+C0oz1qci2wmxvGyocu1TaQOvChwHNqv06qygLZnFAys2j3yAg
WWWcoaCgqgfcLuf34OSW9WU00ASVo7poo+Wp7/dxuELrbrUjKhr27St2DQu4t60Jid+cKzWMZKya
5H67E530FivxHoqTavDpYTQrQDe78ViQp3vQL+x8Iq7S7nJzQvPzzr1V8AQo8RqtTZ3GLCfwqyv3
pcym2ofwhumt0ymoaUocZdJjfUtb5pv5nrhYTZ/32ZoEVGS3bvwUEka2uwSjv/rQ2A0IGjwkG4v7
Fukw/6havMSrnTbzBpj1wh1Q7lCYl3i5gKsf/C6lLxE8uXHHx5zL9bj6NurfyTi4/mHFO1uvpgZt
offNWld1ljTVaD9sRlL+sacyqD6FQxgZDN4U68pvAzxTyQNc6xP9eYTzSvtp6qaW4nwFQ0SW9Q1t
5GUvwXxH/FYRJcZ0ipaArbDbsH0g2oNlrIj4KnMLk4YxoEdPRl/gKh8SgICxgJ/2ZWqf5ILxfWiJ
70RWbztyrr0ckvecoi8iY0EVTYazaCJBRBzlckE7ycWaso30052ppgqS4xj2nUejm268Bd7Zg88s
oMD63IwTCMI8rpP1Ph7IDP9d1Fn1U6IGXx1BMY7nh4lW7IOyoLzkNimQClB15MRdGEwhj2RuPL1H
/YkNjx1AwPt13AzTiAUzwdxAWzwa1dQFIOl2vi36TpstU0lSPgR0vkRgg9f9+mh3P0EQDd0r9Rls
DIs2kzquzX1rkWMCX7vspgML0NV2R0jU4oMq2DDkMykovkRddfFtspgzyVXYc/Cj0FpZlZlWK6d5
v0wkXtJ238L7RnVwTUr3HqrFJwNxG3surRhv5mFBxJVVZRNlcQNXuJBhdV9T6QVz7+kC24PLUniD
/V5uBGE6g4DXOBCsk8idatwCebOMg5MZ5WLK2wAk9kW7Yap/5ASg8COVbReDTDLD8ixOaqZy1qE9
OLUs3o8am5F36czBG79b0Dqlh6wXvexuWluEexXOANR93tm1VaolBwWCzYZtFCFHPu8Jln3frVF5
asXA3dPSFfH6OMxLnKFGMtFPoStAuC98Ba62OVMzW6hoRmTa03lrqsvKGRhrJNBVY7Nl2b47bdIR
MCSRu5nQyxLxwHug5Nl1CSulPhW6mWxWxVSU8Gw1NB3HpBFXypfhWwL1T3NLMXX6i72xu76dIjo/
EA+LVxyBmLsphaI7Yqc4mR/WyKBt120yE5CR36KeA7E24KUMbuSQId+GWdF3o4/KQ0sb0aZ9v7nr
te30fenhoJ+3GMYZ3xaf0aqoL5Mk0TeLKMNVGW/dp1CuzVvNujmriXjT8bl/xxs96LQkxqLtZOna
dko3Umtv0xLRbjgGoOrCpVhp+SzizVy5JiidYziLrN+XfTsOc8OvAtoXk3c+UvJt2Xl0LeTUDTK6
LHq5+i4tMHIVZPKhIt9qVwT3jnMhQrrW/abQyhmvPuT12Q/g1IVth22KmuNgQNadJktxjqnZ2OSl
WOPoao0TqLEhK/Xkaq7iQt/ZaAPTfYXOnzzvoqMi0yFZ3fWSGF5+QuTaTwfuaARWe23q5KbZ1g6w
13JYu9THZlbPbOkMuZ/YwswBNg1hgCUB0OGnMVp19zGqwBJuMh5qXudAs1cuXXiNUFS7RdbZ3CFG
8WnBIsa6NPCw1F83xdl0s27jun8BlMojHKpADMfo7jC3uEkbCIaaA1x0Cnoxq65u3mwxzv6HcUhY
f3QS606OE00pT9O5/e4wyZ6ye4hqGn6N/lkW57HeuD7FkE1tP9doxu7vF+uUIVnQ5Vpd2ckyIlIY
iiiUR/eGduENjsaS4hSMls392trOYl2oBunjW9NjSr5tcVj1H1ve6lMC3jYOyL2XH2PL2uhTjwIr
jsnbyEFcRBK6yjA6ECylxbJidbfzsuVrX87qvYCm3z0rj7X9g7WTpk3O5RRhvyoGHq1vhd+brUwj
gNtZCmL73Ge6YB29s7vaws8J5P7dt7mGmu2gGmALH0NXbRqGA3ycH8B45u12GICRhxdIDZz9g8As
w4pI2DwpLE/VJpEsrAbImi8bRip/ydqqJX2e7DNCgLQTQpSwgR9x/kDE10xZWM05FgHGxfk3jZvn
0l/otmzn585G43ocm8jpk7V64fhiu/ZzPtFuWz+1mkOLJCqg4j85307r0ZSkjzLdLvF1PZWFyCYU
wt1NaJqkxCeRNcSAFln2bDbrhKB0ErCTeV52uORCID0VN2NJpwtfbOpxYjQ4RAd838196LoOzPpN
pRCFlQsDX0w14zF4xUNWAqe6nHZmcUCr9CJT6/wYmdQtzts3Mvay+nkF2kQd9paQKhf+vK+mpQVj
4rJAmH1Tw5oLo47FPbsqGvBZr00Zxvda4SXkzLkk7lJSo+Xh2XZ7EyFKDSS62HaM6wvEAbG8ctgC
ms/es/oCR4BYfxxhcS6rjOuS1I9m5VUFS+i4F/WSYpBxlimsqgGnuQjCuV1WcX2nGk/2bMaEf9fG
vD90RS0GTLViuRoJMhi3yFcw/qCGTbRXfp31F2RiPiD0cFQAqSLQAj6CEUMfB1oWn+Bn0dR52WNR
rJu5vXWOIDLbYTDiT51UVWb2AOAIZB3kspYz624nx2x3OxeLvV6MGZvPAES779HUWptvS4TPmGzy
uV2Sc3GnVdjbt8Q/C8QSLi/3CbE6+prclnZe9keIlbVIG+NLxAYoVa6A3akN+VqshBb5HdfceahM
QGBU50wPhN/zc4tgLKUcHegnpNK1vWGTmqIHJtHEh6YgOZTraRVl6Tp8lCUQC0V30dSHjTDVyEOj
RP2mnMCGP8RQr0w/bytt1yyqkLn6BK8G0HBnrmxyGCoaKIZmTd/ONc4jF2FobEobLKAmXZcZFLuS
LtVXxXtLn5lfqjULvY1x2pFJt25ps6ou+ljXcfFFnUOTS7VBZf4uCPPdtZ1LEO7qKUYw2yftcqnB
BFGZFnP/feSYsqkCsiMDFoQkh04n6pfkX8t2vISgDvC3LBIcZQBVP25UevnBlJGG/rjWBTKDke7h
jGQNLApyBCW9v+JiHL923cZirHNJ1QzPcGrTTUbnyrPLxiXhG47O5X49d7T43lfdrjn432GlN33l
k+ldVBDBv8dAZvBvOFpWyIw0Jb/R49xi7SBVyGgZT/5h1oU00HWgtpSUoiQPdSQEstkIPcg19zAU
Pep1FjTf3E7YYRWrXdOuX7a38ESOk/dm1uubKErse1XI+B16P9x+MRYQAV1GIw7GW9dv60EkCoa+
e7Oa93jn7fUQt2hrEw0A3PA4ScbTWGk9ZdwMvU9NVLQfoNTd0olDvGVM4sX1vJnoQQq/3Qq9V+o4
FrBeOHQ8bBcTsBIXsenIKQGTGWvewOxzpUse7k05Qj28rvD7Sfm0FO6tX2Dx+gkGIjic2eCT6gNS
w0ymYg14D9Q3DZYFzWI2IuKQ0B8r4t5Vm0CQyJBKKEtEGQ2PYA8r9yif0QbPD1yVyJt44NXBKZHz
Xl9QQ8wz7Neb9pGqESLwDQSGxxo3krJ6jc2SYdkOzqczcmPs3rSVTDJmcDvvxrHw47GZiqbKaCKN
/3LudT2NQ9f315uUe4ef0Ub2sY0T392zUnoEbKFmR6VMNF6ihVL6N0hFDwcsE8NwnDlvbE6rtYvR
Lgcw7GH0BIsI/DGu8C2QjigMHw2O2x5Ny2sI7tFGVbNmA1/i7iqK1n6/gP3Y/i3iwCalHdCQ1+U+
bpg+hcLraD05tDpZsmly/oqNMQLOqh6ug6n4I7qXJygE4O+IPAeMGlgiiw/Rjnbyo4JCJrxDnmlb
sRFZEn9zai6pBAOn3ZEesN1ihtOACkX9qdon22f4UhC8q7ZCZI4Vs1v7rJoKA/9ymBfpW1ikKZlp
L8xy2sZkUhcSDHCgUYtVqDqNOGwPj16z8ySMmrUsQVeccGLC4tPmzW61PzmIMnRKx811mMaod31f
sHcWJzM7UuYrHLUJOjF7msTPY4IILV+9nqtMJquA1seJ0D7XAjY1OYHffP2hQ0IjSfthqap3ZNux
epRRJOIrIeOeZ72mHc1HZMPWbBxWpLZSiKC2Mm8gLiT3iZlm9QZAkHpNA1ygzWEJBR/TQPcEEYw2
sfsazaAqpBxSD/0GLJtVXlTBePlV4KH8e4sAVdxwG3cySzrZ0oeu9ASmyQaHgqq2ff8YIOBvj7Sx
pA8ph9h+RQKzGvYSB3WHlAMG9YagEIz2YgJYW9vithpJvZ/ihGzDrTbI06bCMA+/dFPN3wlndXVH
92JAX1JB2uFyUWtEH6CblAJzama7R/1nCOYIfqOfj+h0M32Gqgpfvgy+txEAibtTp6hDOuUD6frz
FxI4+OTxrE0DMSoOYP3dgvxhm0Ff4eySwoslptdEUI7DJXfRcFmjz2L94mnQNi+EKNyFx3rt85kb
0x46xtSUUxBpXJtOcx+qI06Dnb4uEtivofmyO+PBQEsb86aq9XZVOCJVBp1IqXkOJwaCCVUXPerZ
KIWO5ZVYN7YjZnEmuUSSYES1fkJslyIPG7cpBKN7k08YBt0x2ZZ4+i5r3nYRzg5x4hh4tzAx+dm0
fQc9V4sKmcNm2iNOTLKom/WFoIaG7dTGiqlneEb37sbjaL8ZPHidNAlikI2N91zW3fY+wtPoKK1i
x8bleHazxoF0Vfua3C3nE/R1EY3thuAL/bIwmApFWd6HPrY4rMwLE5jgSYuclcxQa+E4rRLb6+Fr
HXC6Rm9fkD35Prs1mhAMSI4D0+igbVxBqxnnK6vHRd1zLB4lQkXV7N/aCtWIT03jx/aYlMkQebxd
wwawmMVcv0kQ7mMuUy0TfjQIjabvlUm4V6mLNdyavUwW9RQjP1cD/4L8v/ui52Rpn020jNHDWKLg
82Y9H1ThWBBURzO5TvA1hmzOzN2p6lH3wiBJDDvOEgcfcQBHcZmuoQAsuc921JBGnHTrWdYyJ1w4
de0NKkk3iK6VuEFYlNi3Q9e085UsmR9P0QIw+ydGSEEycY7ZjsvYR0vaSeqjm5HAnepNtNilxhoH
G/pMIzIeDmHp1XxXWwehS8+JXJ/2Di2NmSIWRZ6adQMsZuYycl+VsKZ4Yt5i8R/AN2jW/Srage9G
yApfw+7kTckC4ikgrrNYbm65DOOg2eWMLLu/6Fqxk2dkFTm/qltUAjNDejQAHKAnJrPKMTZ35LbO
GbXoOM2ULhkTfROlmHO3wtiQoNbIYY9xJDFaq6djHcWo94gBJZ6QdkCsqTRMm+H5XEmeXLpt0ful
SbaIDLB0o37RyOmVYKWNi46bGx7P1j5zC1f177JMlv4GgW0tjx2vFv3We5Rm8q5UTQl1IhrSHuph
6MR1UXZD+9YrvJjrQFVrr8gCpM7tinulIJqHnT80i+zLq62ZdfsOB726WDOyIFqe8mZUPdLWCTza
apItmMwmyuD9IYLJUQeUSh9btAOeLYzlRzgYEhtnWsMAsz/0KAXZ5YQAbMaLdbIx8wP26QGJZzTj
oJSG2E2HtwyvHeIqzat2f4fqSbEdV8zko953eYNDtIiuaVRoBHaCwL2Onst4il6QRghz0TZy4jd7
N0J5HdMwuo++XjRMK9oF1iFHV5otVGnsBZeocVI0XZHJqjUTSGzYT/0Ky/qHEbYLlh7PVq8xchob
B9xdzbtem0z33rd56OczUc5ZccfnIhlOCZS8/nIazMLycg1muKEWPjVIkRLUW8cwy+VYI4kfp5GN
4+iIGqWr806VGsdOM1mDCIn1Nfu8SVDkr4u9bLZHWDIkDrn3qpj3b2zgrPxi2pF0J8IgdTwRZH2n
W7gGzO6pgyU1YpuBJ9tNnEQ2/Bwm3pibEMrIIsG3UZXtGuFIivzygtpKbS2a/SaX3C6ktz5zAeDQ
04xbaPJlp7TN0BsvUDNPknN77aqOGp3Nd90KMvA74tvS3s5uj4crCezdfv7asoDWQbsAMryVSfMF
ab6I5Q1XkbEwa8V5JrMDRnt/QGTdYoPEQno+5vvZ+HsdzSvLQhTFMyaLmmbIJQw/v0FtkK5CJDFz
fW/l2kWwG6hl/W0574/f5AL7BGjJeXmaRh3ilGC9696yeaYOc6/k/eRSoyxU1UgxARQlK1KTnFEe
ob2GlVNxRyvp/BHLKLwQ126o1++u2cx2M+6y5+/nbREJDi9Ts1yFIPftvZK9We/PHo7s0vZLkfYw
u5lSRKPlOVluthV7LgqYDyoELa9sBaXBHQolPQTviI13pLamFlkrDnBlwt1nCFcnlUJYRP1hE6ZF
1m6eqke0ScSIiFZAmR8bdDZiXwRjA96NelWFfpaGaHSaDwT1rPViKOZpdGkNvV+Sjgp9BCxD7Xte
viORVCJ5i4QNcZ+RrdjrKBUO4WuTcqyyDjnEboTaI4VJPc6dxw3yUMCBhi0R1UcorMMyp4sHxGa6
6FfH6ybzE/zDEYcSsfE4n1mFVo783+3sYM8bcXWBShVzGUFHkE0j5aYig1Eye8fwr6Pr1VelOenq
nPstcfzezHnNTIr7kdr5gGzBvqDJOiqi078Xy0a2YJPuEkbd25YT0YxLuoeK36NgNSy5KCD+fl0H
00v4nAjJ0I+D7Q5Ef2iSJ7EeX9cDdG5r+o2ui3dsRbkG12X1o0LSouavlNC8hM6NcGvURS3lEdsk
QRJJr+TWYrW2f6Lh/YFhFUoGv791pMKoQ0caKhMR5t9UjbW77n00wgPRzgYJJ7o2wAJIPdGHzSJ1
iwNWE5FsjDZ8pz9+feeuon/UbfSisaxEiWaro1keR9BMu7yGqOUWzYNThngN5UfU4tSfOA38qJnq
RZ/ZPFkMNfQUH2EIMMm3LozFkpsScW7usTPBnRT2Dx2i0i0Mf/KGf9Da9tKdqEF/GHYTyo9Cgcnh
YDtzmJBr/pMH+tHVX3SfGRD9rKw0R+dI/6Wd42evTPG6pjzyoj0UYfrUm7LgxwDsR1rN4VQvHXvl
xV90mLk4dsO4CH5EDvqAQmqdFjEyj388oH70Vl60hxbbWjuua3EsSWSxp69FGlfY/V939ReznbaG
oTsI74XuPbx5nQZlch/f/vHFfzBCX1oTiTnuvdkaDJdKavrNIqfkMyICBVdI0d6kZtmr/hIiJ25e
hedjL22KKlV6Cc8WfgQOlb9PptneNTHSq3/8QL8srv9gdr80KZJNYEgLlcmxV7pCBloPwaO4gv99
D7ETzwkib/yXIYkHcVGb5qnZ66cYI41fFrZeKpxVyuoAOuO3bWVAN6dOIiT79e7+4+v2f8rv48Ov
92H/+p/4/dfR4LBfVu7Fb//6NPb4/3+e/83f/87v/8VfL76Pd5/77/blX/rdv8F1//Zz88/u8+9+
c0Bc7sKb5fscHr/bpXN//Ke/3iEe4Hyhh7Ee3NP43y7xT/2lX57jhxf6t++/3NdTMN//6y+fv/X1
kOMYNddf3V/+9kenb//1FyrRzPObj/73m/rlef7oGt1nPPbyDRen4ieuEkaZkjj5n3/95d+6cYBz
wy9/LNlPipOYqliSX35h5v7H797Rj97CHz/g/3vZvw6Hv9/4797mHz3Ar+/nl5cg9HlO4qZeXOv/
4yUw8pNK0KavKWb9b5+e/5TEQhFN/vZyfv1BvxlM/9NPz6g4y8r/paeP459ILGJCzjY/v3169VNC
JID0ZzHv/66PDh/Ps3/tv/bY+qeEU6IY178ObUQ5v3168VNMlGboJfz11//UyP+K8q07L0+wGhx+
O/3jc/D5z7yCF1f4zeSnP0GRywlV9NdXQH//CvRPEP4LSRjOJOdf/+vGQQwN+786Dqj+KdYKebf/
y9zV9qYNA+G/Eu3DPiLyQgBNq9TCtKotXbUx7fOVWMQlSSuHbOLf7zknpjikK5sjrXwDwnP2vZ97
vkLAtvxxlTCIhhFu+fKrpvOGbH8MxxeEENkpOtAKIpYOxFP2IsNGz1sBwB+gYxXH2yOMiefXm9OB
MPY5tXFjAoe5yMcZpR0AJuMB+orjaYSJiPr1v5xAS3zP4Q93FtB8wXde3RgwGWCoG+bUxXGt7S1n
OB6AyWiNHvk1H/7CGE6wmH3GNEtllnzi3EeK8iAre/UBE/2PAQ7yJXaY1oOcX9XQNUP5/ZnFap04
HnxpEklNp/l5s8Fj0hYtsyvz4aUUitQq3ekvds0yOZn9+O68SFJF3p2iRJSp5fNHPLvneUFH2eFe
C/6IX5aUGxidRPl8id8V9kKmpAwMw2JsI9yTK+wlqR0VZIAYuPH7zsgyp1VKWSenoyHfTHUlcUV5
XnnvKX/64F1TmebS4pA/CqeI4q5UrkkVqEg2NpPigC+nOWNDT7MWcDRFje0KfEP4X2GU/BLiyYBp
2Y6nPELKFX1BSbrrtiHg98CXLwkuJVt8CaJRH8K8q5JqlQqldoYL2kTj0PfNB52F4Ummf1cVD3Rv
cGpgXUC58vsrPVC5TclKUZsK1RX7m9xspOWwMKKHqxJX4CXlMvNuKakMFnOkKapcwb9vcbTf5VrC
CI1BhuC/i/KHKLfehSjWlBkwvfo6H3Jd/YLgzOGwtsrS8abyckX/jA5DRdZpxj6ddcZ+tFbMuHHQ
gytHVKacCo+KxLuVq8d7SBc3qfC2POQ/Wvt9n89lXPdxrqri5fCEmb5+3IujlLjdaqcDgMZVI551
7bqHpZJPla1BDXgP1junBFmSFgetIYxL+ikyaRbNtqBp6eGSrhu5BQUWdQudG597YNOCCuZTB3gP
bFqINXIc2llWAc7w2ntIJuciS9tMb0oSV6bP9/Y2l5aHrlfPc4RcScwQsRIJ7bHT7Lqq6sGIZ2lK
260sjyigi3SC04Ue5KvjDG14I4YfWvcbCj1EmiuEghfxe1ChpYBprds5PsYMoCGA5+a4CvmGEvDH
4DBzxpGPv6vEw2mAE65hEIQ8FMmVTLc/8s4RL17UZHSAoeiewBhx/BCEI8xheW0hXfXm/kj+uAo1
R+1dP7NLbH5ilQlSZ78BAAD//w==</cx:binary>
              </cx:geoCache>
            </cx:geography>
          </cx:layoutPr>
          <cx:valueColorPositions count="3"/>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9.xml><?xml version="1.0" encoding="utf-8"?>
<cs:chartStyle xmlns:cs="http://schemas.microsoft.com/office/drawing/2012/chartStyle" xmlns:a="http://schemas.openxmlformats.org/drawingml/2006/main" id="34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10800000" scaled="1"/>
      </a:gradFill>
    </cs:spPr>
  </cs:dataPoint>
  <cs:dataPoint3D>
    <cs:lnRef idx="0"/>
    <cs:fillRef idx="0">
      <cs:styleClr val="auto"/>
    </cs:fillRef>
    <cs:effectRef idx="0"/>
    <cs:fontRef idx="minor">
      <a:schemeClr val="tx1"/>
    </cs:fontRef>
    <cs:spPr>
      <a:gradFill flip="none" rotWithShape="1">
        <a:gsLst>
          <a:gs pos="100000">
            <a:schemeClr val="phClr">
              <a:alpha val="0"/>
            </a:schemeClr>
          </a:gs>
          <a:gs pos="50000">
            <a:schemeClr val="phClr"/>
          </a:gs>
        </a:gsLst>
        <a:lin ang="10800000" scaled="1"/>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image" Target="../media/image4.svg"/><Relationship Id="rId13" Type="http://schemas.openxmlformats.org/officeDocument/2006/relationships/image" Target="../media/image9.png"/><Relationship Id="rId18" Type="http://schemas.openxmlformats.org/officeDocument/2006/relationships/image" Target="../media/image14.svg"/><Relationship Id="rId3" Type="http://schemas.openxmlformats.org/officeDocument/2006/relationships/chart" Target="../charts/chart7.xml"/><Relationship Id="rId7" Type="http://schemas.openxmlformats.org/officeDocument/2006/relationships/image" Target="../media/image3.png"/><Relationship Id="rId12" Type="http://schemas.openxmlformats.org/officeDocument/2006/relationships/image" Target="../media/image8.svg"/><Relationship Id="rId17" Type="http://schemas.openxmlformats.org/officeDocument/2006/relationships/image" Target="../media/image13.png"/><Relationship Id="rId2" Type="http://schemas.openxmlformats.org/officeDocument/2006/relationships/chart" Target="../charts/chart6.xml"/><Relationship Id="rId16" Type="http://schemas.openxmlformats.org/officeDocument/2006/relationships/image" Target="../media/image12.svg"/><Relationship Id="rId1" Type="http://schemas.openxmlformats.org/officeDocument/2006/relationships/chart" Target="../charts/chart5.xml"/><Relationship Id="rId6" Type="http://schemas.openxmlformats.org/officeDocument/2006/relationships/image" Target="../media/image2.svg"/><Relationship Id="rId11" Type="http://schemas.openxmlformats.org/officeDocument/2006/relationships/image" Target="../media/image7.png"/><Relationship Id="rId5" Type="http://schemas.openxmlformats.org/officeDocument/2006/relationships/image" Target="../media/image1.png"/><Relationship Id="rId15" Type="http://schemas.openxmlformats.org/officeDocument/2006/relationships/image" Target="../media/image11.png"/><Relationship Id="rId10" Type="http://schemas.openxmlformats.org/officeDocument/2006/relationships/image" Target="../media/image6.svg"/><Relationship Id="rId19" Type="http://schemas.microsoft.com/office/2014/relationships/chartEx" Target="../charts/chartEx2.xml"/><Relationship Id="rId4" Type="http://schemas.openxmlformats.org/officeDocument/2006/relationships/chart" Target="../charts/chart8.xml"/><Relationship Id="rId9" Type="http://schemas.openxmlformats.org/officeDocument/2006/relationships/image" Target="../media/image5.png"/><Relationship Id="rId14" Type="http://schemas.openxmlformats.org/officeDocument/2006/relationships/image" Target="../media/image10.svg"/></Relationships>
</file>

<file path=xl/drawings/drawing1.xml><?xml version="1.0" encoding="utf-8"?>
<xdr:wsDr xmlns:xdr="http://schemas.openxmlformats.org/drawingml/2006/spreadsheetDrawing" xmlns:a="http://schemas.openxmlformats.org/drawingml/2006/main">
  <xdr:twoCellAnchor>
    <xdr:from>
      <xdr:col>2</xdr:col>
      <xdr:colOff>4763</xdr:colOff>
      <xdr:row>1</xdr:row>
      <xdr:rowOff>23814</xdr:rowOff>
    </xdr:from>
    <xdr:to>
      <xdr:col>5</xdr:col>
      <xdr:colOff>14288</xdr:colOff>
      <xdr:row>7</xdr:row>
      <xdr:rowOff>176214</xdr:rowOff>
    </xdr:to>
    <xdr:sp macro="" textlink="$A$4">
      <xdr:nvSpPr>
        <xdr:cNvPr id="2" name="Rounded Rectangle 1">
          <a:extLst>
            <a:ext uri="{FF2B5EF4-FFF2-40B4-BE49-F238E27FC236}">
              <a16:creationId xmlns:a16="http://schemas.microsoft.com/office/drawing/2014/main" id="{00000000-0008-0000-0300-000002000000}"/>
            </a:ext>
          </a:extLst>
        </xdr:cNvPr>
        <xdr:cNvSpPr/>
      </xdr:nvSpPr>
      <xdr:spPr>
        <a:xfrm>
          <a:off x="1966913" y="204789"/>
          <a:ext cx="1952625"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E479679A-C335-4050-BBA7-6F54A32CF8F9}" type="TxLink">
            <a:rPr lang="en-US" sz="1800" b="1" i="0" u="none" strike="noStrike">
              <a:solidFill>
                <a:srgbClr val="000000"/>
              </a:solidFill>
              <a:latin typeface="Calibri"/>
              <a:ea typeface="Calibri"/>
              <a:cs typeface="Calibri"/>
            </a:rPr>
            <a:pPr algn="ctr"/>
            <a:t> ₹2,55,69,819.00 </a:t>
          </a:fld>
          <a:endParaRPr lang="en-US" sz="1800" b="1"/>
        </a:p>
      </xdr:txBody>
    </xdr:sp>
    <xdr:clientData/>
  </xdr:twoCellAnchor>
  <xdr:twoCellAnchor>
    <xdr:from>
      <xdr:col>6</xdr:col>
      <xdr:colOff>0</xdr:colOff>
      <xdr:row>1</xdr:row>
      <xdr:rowOff>0</xdr:rowOff>
    </xdr:from>
    <xdr:to>
      <xdr:col>9</xdr:col>
      <xdr:colOff>9525</xdr:colOff>
      <xdr:row>7</xdr:row>
      <xdr:rowOff>152400</xdr:rowOff>
    </xdr:to>
    <xdr:sp macro="" textlink="$A$7">
      <xdr:nvSpPr>
        <xdr:cNvPr id="3" name="Rounded Rectangle 2">
          <a:extLst>
            <a:ext uri="{FF2B5EF4-FFF2-40B4-BE49-F238E27FC236}">
              <a16:creationId xmlns:a16="http://schemas.microsoft.com/office/drawing/2014/main" id="{00000000-0008-0000-0300-000003000000}"/>
            </a:ext>
          </a:extLst>
        </xdr:cNvPr>
        <xdr:cNvSpPr/>
      </xdr:nvSpPr>
      <xdr:spPr>
        <a:xfrm>
          <a:off x="4552950" y="180975"/>
          <a:ext cx="1952625"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EB2B4C3D-5894-45CF-A9F2-CEE3991A317D}" type="TxLink">
            <a:rPr lang="en-US" sz="1800" b="1" i="0" u="none" strike="noStrike">
              <a:solidFill>
                <a:srgbClr val="000000"/>
              </a:solidFill>
              <a:latin typeface="Calibri"/>
              <a:ea typeface="Calibri"/>
              <a:cs typeface="Calibri"/>
            </a:rPr>
            <a:pPr algn="ctr"/>
            <a:t>1875</a:t>
          </a:fld>
          <a:endParaRPr lang="en-US" sz="1800" b="1"/>
        </a:p>
      </xdr:txBody>
    </xdr:sp>
    <xdr:clientData/>
  </xdr:twoCellAnchor>
  <xdr:twoCellAnchor>
    <xdr:from>
      <xdr:col>10</xdr:col>
      <xdr:colOff>23813</xdr:colOff>
      <xdr:row>1</xdr:row>
      <xdr:rowOff>19051</xdr:rowOff>
    </xdr:from>
    <xdr:to>
      <xdr:col>13</xdr:col>
      <xdr:colOff>33338</xdr:colOff>
      <xdr:row>7</xdr:row>
      <xdr:rowOff>171451</xdr:rowOff>
    </xdr:to>
    <xdr:sp macro="" textlink="$A$10">
      <xdr:nvSpPr>
        <xdr:cNvPr id="4" name="Rounded Rectangle 3">
          <a:extLst>
            <a:ext uri="{FF2B5EF4-FFF2-40B4-BE49-F238E27FC236}">
              <a16:creationId xmlns:a16="http://schemas.microsoft.com/office/drawing/2014/main" id="{00000000-0008-0000-0300-000004000000}"/>
            </a:ext>
          </a:extLst>
        </xdr:cNvPr>
        <xdr:cNvSpPr/>
      </xdr:nvSpPr>
      <xdr:spPr>
        <a:xfrm>
          <a:off x="7391401" y="200026"/>
          <a:ext cx="1952625"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38F5E917-2D84-4CED-A621-E95692521AEB}" type="TxLink">
            <a:rPr lang="en-US" sz="1800" b="1" i="0" u="none" strike="noStrike">
              <a:solidFill>
                <a:srgbClr val="000000"/>
              </a:solidFill>
              <a:latin typeface="Calibri"/>
              <a:ea typeface="Calibri"/>
              <a:cs typeface="Calibri"/>
            </a:rPr>
            <a:pPr algn="ctr"/>
            <a:t> ₹1,82,641.56 </a:t>
          </a:fld>
          <a:endParaRPr lang="en-US" sz="1800" b="1"/>
        </a:p>
      </xdr:txBody>
    </xdr:sp>
    <xdr:clientData/>
  </xdr:twoCellAnchor>
  <xdr:twoCellAnchor>
    <xdr:from>
      <xdr:col>13</xdr:col>
      <xdr:colOff>642937</xdr:colOff>
      <xdr:row>1</xdr:row>
      <xdr:rowOff>0</xdr:rowOff>
    </xdr:from>
    <xdr:to>
      <xdr:col>17</xdr:col>
      <xdr:colOff>4762</xdr:colOff>
      <xdr:row>7</xdr:row>
      <xdr:rowOff>152400</xdr:rowOff>
    </xdr:to>
    <xdr:sp macro="" textlink="">
      <xdr:nvSpPr>
        <xdr:cNvPr id="5" name="Rounded Rectangle 4">
          <a:extLst>
            <a:ext uri="{FF2B5EF4-FFF2-40B4-BE49-F238E27FC236}">
              <a16:creationId xmlns:a16="http://schemas.microsoft.com/office/drawing/2014/main" id="{00000000-0008-0000-0300-000005000000}"/>
            </a:ext>
          </a:extLst>
        </xdr:cNvPr>
        <xdr:cNvSpPr/>
      </xdr:nvSpPr>
      <xdr:spPr>
        <a:xfrm>
          <a:off x="9729787" y="180975"/>
          <a:ext cx="1952625"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0</xdr:colOff>
      <xdr:row>10</xdr:row>
      <xdr:rowOff>23814</xdr:rowOff>
    </xdr:from>
    <xdr:to>
      <xdr:col>5</xdr:col>
      <xdr:colOff>9525</xdr:colOff>
      <xdr:row>16</xdr:row>
      <xdr:rowOff>176214</xdr:rowOff>
    </xdr:to>
    <xdr:sp macro="" textlink="$A$13">
      <xdr:nvSpPr>
        <xdr:cNvPr id="6" name="Rounded Rectangle 5">
          <a:extLst>
            <a:ext uri="{FF2B5EF4-FFF2-40B4-BE49-F238E27FC236}">
              <a16:creationId xmlns:a16="http://schemas.microsoft.com/office/drawing/2014/main" id="{00000000-0008-0000-0300-000006000000}"/>
            </a:ext>
          </a:extLst>
        </xdr:cNvPr>
        <xdr:cNvSpPr/>
      </xdr:nvSpPr>
      <xdr:spPr>
        <a:xfrm>
          <a:off x="1962150" y="1833564"/>
          <a:ext cx="1952625"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54256F17-A942-47FF-9CD4-4B841CAE6EB9}"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 ₹5,70,725.00 </a:t>
          </a:fld>
          <a:endParaRPr lang="en-US" sz="1800" b="1">
            <a:latin typeface="Arial" panose="020B0604020202020204" pitchFamily="34" charset="0"/>
            <a:cs typeface="Arial" panose="020B0604020202020204" pitchFamily="34" charset="0"/>
          </a:endParaRPr>
        </a:p>
      </xdr:txBody>
    </xdr:sp>
    <xdr:clientData/>
  </xdr:twoCellAnchor>
  <xdr:twoCellAnchor>
    <xdr:from>
      <xdr:col>5</xdr:col>
      <xdr:colOff>642937</xdr:colOff>
      <xdr:row>10</xdr:row>
      <xdr:rowOff>0</xdr:rowOff>
    </xdr:from>
    <xdr:to>
      <xdr:col>9</xdr:col>
      <xdr:colOff>4762</xdr:colOff>
      <xdr:row>16</xdr:row>
      <xdr:rowOff>152400</xdr:rowOff>
    </xdr:to>
    <xdr:sp macro="" textlink="$A$16">
      <xdr:nvSpPr>
        <xdr:cNvPr id="7" name="Rounded Rectangle 6">
          <a:extLst>
            <a:ext uri="{FF2B5EF4-FFF2-40B4-BE49-F238E27FC236}">
              <a16:creationId xmlns:a16="http://schemas.microsoft.com/office/drawing/2014/main" id="{00000000-0008-0000-0300-000007000000}"/>
            </a:ext>
          </a:extLst>
        </xdr:cNvPr>
        <xdr:cNvSpPr/>
      </xdr:nvSpPr>
      <xdr:spPr>
        <a:xfrm>
          <a:off x="4548187" y="1809750"/>
          <a:ext cx="1952625"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6DF30E41-0A6E-4B51-94ED-CEDF856EF49D}"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 ₹2,307.00 </a:t>
          </a:fld>
          <a:endParaRPr lang="en-US" sz="1800" b="1">
            <a:latin typeface="Arial" panose="020B0604020202020204" pitchFamily="34" charset="0"/>
            <a:cs typeface="Arial" panose="020B0604020202020204" pitchFamily="34" charset="0"/>
          </a:endParaRPr>
        </a:p>
      </xdr:txBody>
    </xdr:sp>
    <xdr:clientData/>
  </xdr:twoCellAnchor>
  <xdr:twoCellAnchor>
    <xdr:from>
      <xdr:col>9</xdr:col>
      <xdr:colOff>642937</xdr:colOff>
      <xdr:row>10</xdr:row>
      <xdr:rowOff>23814</xdr:rowOff>
    </xdr:from>
    <xdr:to>
      <xdr:col>13</xdr:col>
      <xdr:colOff>4762</xdr:colOff>
      <xdr:row>16</xdr:row>
      <xdr:rowOff>176214</xdr:rowOff>
    </xdr:to>
    <xdr:sp macro="" textlink="$A$19">
      <xdr:nvSpPr>
        <xdr:cNvPr id="8" name="Rounded Rectangle 7">
          <a:extLst>
            <a:ext uri="{FF2B5EF4-FFF2-40B4-BE49-F238E27FC236}">
              <a16:creationId xmlns:a16="http://schemas.microsoft.com/office/drawing/2014/main" id="{00000000-0008-0000-0300-000008000000}"/>
            </a:ext>
          </a:extLst>
        </xdr:cNvPr>
        <xdr:cNvSpPr/>
      </xdr:nvSpPr>
      <xdr:spPr>
        <a:xfrm>
          <a:off x="7138987" y="1833564"/>
          <a:ext cx="1952625"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A1193B6E-B51B-4A84-8359-B70F0E596A69}"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140</a:t>
          </a:fld>
          <a:endParaRPr lang="en-US" sz="1800" b="1">
            <a:latin typeface="Arial" panose="020B0604020202020204" pitchFamily="34" charset="0"/>
            <a:cs typeface="Arial" panose="020B0604020202020204" pitchFamily="34" charset="0"/>
          </a:endParaRPr>
        </a:p>
      </xdr:txBody>
    </xdr:sp>
    <xdr:clientData/>
  </xdr:twoCellAnchor>
  <xdr:twoCellAnchor>
    <xdr:from>
      <xdr:col>13</xdr:col>
      <xdr:colOff>638174</xdr:colOff>
      <xdr:row>10</xdr:row>
      <xdr:rowOff>0</xdr:rowOff>
    </xdr:from>
    <xdr:to>
      <xdr:col>16</xdr:col>
      <xdr:colOff>647699</xdr:colOff>
      <xdr:row>16</xdr:row>
      <xdr:rowOff>152400</xdr:rowOff>
    </xdr:to>
    <xdr:sp macro="" textlink="$B$22">
      <xdr:nvSpPr>
        <xdr:cNvPr id="9" name="Rounded Rectangle 8">
          <a:extLst>
            <a:ext uri="{FF2B5EF4-FFF2-40B4-BE49-F238E27FC236}">
              <a16:creationId xmlns:a16="http://schemas.microsoft.com/office/drawing/2014/main" id="{00000000-0008-0000-0300-000009000000}"/>
            </a:ext>
          </a:extLst>
        </xdr:cNvPr>
        <xdr:cNvSpPr/>
      </xdr:nvSpPr>
      <xdr:spPr>
        <a:xfrm>
          <a:off x="9725024" y="1809750"/>
          <a:ext cx="1952625" cy="1238250"/>
        </a:xfrm>
        <a:prstGeom prst="round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b"/>
        <a:lstStyle/>
        <a:p>
          <a:pPr algn="ctr"/>
          <a:fld id="{7D144DC9-848A-47EA-B4A1-FF79343065C1}"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 ₹19,88,223.00 </a:t>
          </a:fld>
          <a:endParaRPr lang="en-US" sz="1800" b="1">
            <a:latin typeface="Arial" panose="020B0604020202020204" pitchFamily="34" charset="0"/>
            <a:cs typeface="Arial" panose="020B0604020202020204" pitchFamily="34" charset="0"/>
          </a:endParaRPr>
        </a:p>
      </xdr:txBody>
    </xdr:sp>
    <xdr:clientData/>
  </xdr:twoCellAnchor>
  <xdr:twoCellAnchor>
    <xdr:from>
      <xdr:col>2</xdr:col>
      <xdr:colOff>19050</xdr:colOff>
      <xdr:row>2</xdr:row>
      <xdr:rowOff>80963</xdr:rowOff>
    </xdr:from>
    <xdr:to>
      <xdr:col>5</xdr:col>
      <xdr:colOff>14288</xdr:colOff>
      <xdr:row>4</xdr:row>
      <xdr:rowOff>33338</xdr:rowOff>
    </xdr:to>
    <xdr:sp macro="" textlink="">
      <xdr:nvSpPr>
        <xdr:cNvPr id="10" name="TextBox 9">
          <a:extLst>
            <a:ext uri="{FF2B5EF4-FFF2-40B4-BE49-F238E27FC236}">
              <a16:creationId xmlns:a16="http://schemas.microsoft.com/office/drawing/2014/main" id="{00000000-0008-0000-0300-00000A000000}"/>
            </a:ext>
          </a:extLst>
        </xdr:cNvPr>
        <xdr:cNvSpPr txBox="1"/>
      </xdr:nvSpPr>
      <xdr:spPr>
        <a:xfrm>
          <a:off x="1981200" y="442913"/>
          <a:ext cx="1938338" cy="314325"/>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rial" panose="020B0604020202020204" pitchFamily="34" charset="0"/>
              <a:cs typeface="Arial" panose="020B0604020202020204" pitchFamily="34" charset="0"/>
            </a:rPr>
            <a:t>Total Sale</a:t>
          </a:r>
        </a:p>
      </xdr:txBody>
    </xdr:sp>
    <xdr:clientData/>
  </xdr:twoCellAnchor>
  <xdr:twoCellAnchor>
    <xdr:from>
      <xdr:col>6</xdr:col>
      <xdr:colOff>14287</xdr:colOff>
      <xdr:row>2</xdr:row>
      <xdr:rowOff>85725</xdr:rowOff>
    </xdr:from>
    <xdr:to>
      <xdr:col>8</xdr:col>
      <xdr:colOff>642937</xdr:colOff>
      <xdr:row>4</xdr:row>
      <xdr:rowOff>100013</xdr:rowOff>
    </xdr:to>
    <xdr:sp macro="" textlink="">
      <xdr:nvSpPr>
        <xdr:cNvPr id="15" name="TextBox 14">
          <a:extLst>
            <a:ext uri="{FF2B5EF4-FFF2-40B4-BE49-F238E27FC236}">
              <a16:creationId xmlns:a16="http://schemas.microsoft.com/office/drawing/2014/main" id="{00000000-0008-0000-0300-00000F000000}"/>
            </a:ext>
          </a:extLst>
        </xdr:cNvPr>
        <xdr:cNvSpPr txBox="1"/>
      </xdr:nvSpPr>
      <xdr:spPr>
        <a:xfrm>
          <a:off x="4343400" y="447675"/>
          <a:ext cx="1924050" cy="376238"/>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rial" panose="020B0604020202020204" pitchFamily="34" charset="0"/>
              <a:cs typeface="Arial" panose="020B0604020202020204" pitchFamily="34" charset="0"/>
            </a:rPr>
            <a:t>Total Units Sold</a:t>
          </a:r>
        </a:p>
      </xdr:txBody>
    </xdr:sp>
    <xdr:clientData/>
  </xdr:twoCellAnchor>
  <xdr:twoCellAnchor>
    <xdr:from>
      <xdr:col>10</xdr:col>
      <xdr:colOff>71437</xdr:colOff>
      <xdr:row>2</xdr:row>
      <xdr:rowOff>4763</xdr:rowOff>
    </xdr:from>
    <xdr:to>
      <xdr:col>13</xdr:col>
      <xdr:colOff>28575</xdr:colOff>
      <xdr:row>5</xdr:row>
      <xdr:rowOff>95249</xdr:rowOff>
    </xdr:to>
    <xdr:sp macro="" textlink="">
      <xdr:nvSpPr>
        <xdr:cNvPr id="24" name="TextBox 23">
          <a:extLst>
            <a:ext uri="{FF2B5EF4-FFF2-40B4-BE49-F238E27FC236}">
              <a16:creationId xmlns:a16="http://schemas.microsoft.com/office/drawing/2014/main" id="{00000000-0008-0000-0300-000018000000}"/>
            </a:ext>
          </a:extLst>
        </xdr:cNvPr>
        <xdr:cNvSpPr txBox="1"/>
      </xdr:nvSpPr>
      <xdr:spPr>
        <a:xfrm>
          <a:off x="7439025" y="366713"/>
          <a:ext cx="1900238" cy="633411"/>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rial" panose="020B0604020202020204" pitchFamily="34" charset="0"/>
              <a:cs typeface="Arial" panose="020B0604020202020204" pitchFamily="34" charset="0"/>
            </a:rPr>
            <a:t>Average Per</a:t>
          </a:r>
          <a:r>
            <a:rPr lang="en-US" sz="1800" b="1" baseline="0">
              <a:latin typeface="Arial" panose="020B0604020202020204" pitchFamily="34" charset="0"/>
              <a:cs typeface="Arial" panose="020B0604020202020204" pitchFamily="34" charset="0"/>
            </a:rPr>
            <a:t> Order</a:t>
          </a:r>
          <a:endParaRPr lang="en-US" sz="1800" b="1">
            <a:latin typeface="Arial" panose="020B0604020202020204" pitchFamily="34" charset="0"/>
            <a:cs typeface="Arial" panose="020B0604020202020204" pitchFamily="34" charset="0"/>
          </a:endParaRPr>
        </a:p>
      </xdr:txBody>
    </xdr:sp>
    <xdr:clientData/>
  </xdr:twoCellAnchor>
  <xdr:twoCellAnchor>
    <xdr:from>
      <xdr:col>2</xdr:col>
      <xdr:colOff>19050</xdr:colOff>
      <xdr:row>11</xdr:row>
      <xdr:rowOff>100013</xdr:rowOff>
    </xdr:from>
    <xdr:to>
      <xdr:col>4</xdr:col>
      <xdr:colOff>638175</xdr:colOff>
      <xdr:row>13</xdr:row>
      <xdr:rowOff>47625</xdr:rowOff>
    </xdr:to>
    <xdr:sp macro="" textlink="">
      <xdr:nvSpPr>
        <xdr:cNvPr id="25" name="TextBox 24">
          <a:extLst>
            <a:ext uri="{FF2B5EF4-FFF2-40B4-BE49-F238E27FC236}">
              <a16:creationId xmlns:a16="http://schemas.microsoft.com/office/drawing/2014/main" id="{00000000-0008-0000-0300-000019000000}"/>
            </a:ext>
          </a:extLst>
        </xdr:cNvPr>
        <xdr:cNvSpPr txBox="1"/>
      </xdr:nvSpPr>
      <xdr:spPr>
        <a:xfrm>
          <a:off x="1952625" y="2090738"/>
          <a:ext cx="1914525" cy="30956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Maximum</a:t>
          </a:r>
          <a:r>
            <a:rPr lang="en-US" sz="1800" b="1" baseline="0"/>
            <a:t> Sales</a:t>
          </a:r>
          <a:endParaRPr lang="en-US" sz="1800" b="1"/>
        </a:p>
      </xdr:txBody>
    </xdr:sp>
    <xdr:clientData/>
  </xdr:twoCellAnchor>
  <xdr:twoCellAnchor>
    <xdr:from>
      <xdr:col>6</xdr:col>
      <xdr:colOff>14288</xdr:colOff>
      <xdr:row>11</xdr:row>
      <xdr:rowOff>80962</xdr:rowOff>
    </xdr:from>
    <xdr:to>
      <xdr:col>8</xdr:col>
      <xdr:colOff>633413</xdr:colOff>
      <xdr:row>13</xdr:row>
      <xdr:rowOff>28574</xdr:rowOff>
    </xdr:to>
    <xdr:sp macro="" textlink="">
      <xdr:nvSpPr>
        <xdr:cNvPr id="27" name="TextBox 26">
          <a:extLst>
            <a:ext uri="{FF2B5EF4-FFF2-40B4-BE49-F238E27FC236}">
              <a16:creationId xmlns:a16="http://schemas.microsoft.com/office/drawing/2014/main" id="{00000000-0008-0000-0300-00001B000000}"/>
            </a:ext>
          </a:extLst>
        </xdr:cNvPr>
        <xdr:cNvSpPr txBox="1"/>
      </xdr:nvSpPr>
      <xdr:spPr>
        <a:xfrm>
          <a:off x="4538663" y="2071687"/>
          <a:ext cx="1914525" cy="30956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t>Minimum</a:t>
          </a:r>
          <a:r>
            <a:rPr lang="en-US" sz="1800" b="1" baseline="0"/>
            <a:t> Sales</a:t>
          </a:r>
          <a:endParaRPr lang="en-US" sz="1800" b="1"/>
        </a:p>
      </xdr:txBody>
    </xdr:sp>
    <xdr:clientData/>
  </xdr:twoCellAnchor>
  <xdr:twoCellAnchor>
    <xdr:from>
      <xdr:col>10</xdr:col>
      <xdr:colOff>28575</xdr:colOff>
      <xdr:row>11</xdr:row>
      <xdr:rowOff>104776</xdr:rowOff>
    </xdr:from>
    <xdr:to>
      <xdr:col>12</xdr:col>
      <xdr:colOff>628650</xdr:colOff>
      <xdr:row>13</xdr:row>
      <xdr:rowOff>52388</xdr:rowOff>
    </xdr:to>
    <xdr:sp macro="" textlink="">
      <xdr:nvSpPr>
        <xdr:cNvPr id="29" name="TextBox 28">
          <a:extLst>
            <a:ext uri="{FF2B5EF4-FFF2-40B4-BE49-F238E27FC236}">
              <a16:creationId xmlns:a16="http://schemas.microsoft.com/office/drawing/2014/main" id="{00000000-0008-0000-0300-00001D000000}"/>
            </a:ext>
          </a:extLst>
        </xdr:cNvPr>
        <xdr:cNvSpPr txBox="1"/>
      </xdr:nvSpPr>
      <xdr:spPr>
        <a:xfrm>
          <a:off x="7386638" y="2095501"/>
          <a:ext cx="1895475" cy="30956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rial" panose="020B0604020202020204" pitchFamily="34" charset="0"/>
              <a:cs typeface="Arial" panose="020B0604020202020204" pitchFamily="34" charset="0"/>
            </a:rPr>
            <a:t>Total Customers</a:t>
          </a:r>
        </a:p>
      </xdr:txBody>
    </xdr:sp>
    <xdr:clientData/>
  </xdr:twoCellAnchor>
  <xdr:twoCellAnchor>
    <xdr:from>
      <xdr:col>14</xdr:col>
      <xdr:colOff>23811</xdr:colOff>
      <xdr:row>11</xdr:row>
      <xdr:rowOff>90487</xdr:rowOff>
    </xdr:from>
    <xdr:to>
      <xdr:col>16</xdr:col>
      <xdr:colOff>619125</xdr:colOff>
      <xdr:row>13</xdr:row>
      <xdr:rowOff>38099</xdr:rowOff>
    </xdr:to>
    <xdr:sp macro="" textlink="">
      <xdr:nvSpPr>
        <xdr:cNvPr id="30" name="TextBox 29">
          <a:extLst>
            <a:ext uri="{FF2B5EF4-FFF2-40B4-BE49-F238E27FC236}">
              <a16:creationId xmlns:a16="http://schemas.microsoft.com/office/drawing/2014/main" id="{00000000-0008-0000-0300-00001E000000}"/>
            </a:ext>
          </a:extLst>
        </xdr:cNvPr>
        <xdr:cNvSpPr txBox="1"/>
      </xdr:nvSpPr>
      <xdr:spPr>
        <a:xfrm>
          <a:off x="9972674" y="2081212"/>
          <a:ext cx="1890714" cy="309562"/>
        </a:xfrm>
        <a:prstGeom prst="rect">
          <a:avLst/>
        </a:prstGeom>
        <a:solidFill>
          <a:schemeClr val="accen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rial" panose="020B0604020202020204" pitchFamily="34" charset="0"/>
              <a:cs typeface="Arial" panose="020B0604020202020204" pitchFamily="34" charset="0"/>
            </a:rPr>
            <a:t>Top Product Sales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21</xdr:row>
      <xdr:rowOff>80962</xdr:rowOff>
    </xdr:from>
    <xdr:to>
      <xdr:col>1</xdr:col>
      <xdr:colOff>877887</xdr:colOff>
      <xdr:row>35</xdr:row>
      <xdr:rowOff>71437</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0" y="3881437"/>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19050</xdr:colOff>
      <xdr:row>16</xdr:row>
      <xdr:rowOff>38101</xdr:rowOff>
    </xdr:from>
    <xdr:to>
      <xdr:col>1</xdr:col>
      <xdr:colOff>896937</xdr:colOff>
      <xdr:row>21</xdr:row>
      <xdr:rowOff>28575</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9050" y="2933701"/>
              <a:ext cx="1828800" cy="89534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1057275</xdr:colOff>
      <xdr:row>16</xdr:row>
      <xdr:rowOff>100012</xdr:rowOff>
    </xdr:from>
    <xdr:to>
      <xdr:col>4</xdr:col>
      <xdr:colOff>238125</xdr:colOff>
      <xdr:row>30</xdr:row>
      <xdr:rowOff>90487</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0000000-0008-0000-0400-000004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919288" y="2995612"/>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285750</xdr:colOff>
      <xdr:row>16</xdr:row>
      <xdr:rowOff>90488</xdr:rowOff>
    </xdr:from>
    <xdr:to>
      <xdr:col>7</xdr:col>
      <xdr:colOff>171450</xdr:colOff>
      <xdr:row>30</xdr:row>
      <xdr:rowOff>80963</xdr:rowOff>
    </xdr:to>
    <mc:AlternateContent xmlns:mc="http://schemas.openxmlformats.org/markup-compatibility/2006" xmlns:a14="http://schemas.microsoft.com/office/drawing/2010/main">
      <mc:Choice Requires="a14">
        <xdr:graphicFrame macro="">
          <xdr:nvGraphicFramePr>
            <xdr:cNvPr id="5" name="Month">
              <a:extLst>
                <a:ext uri="{FF2B5EF4-FFF2-40B4-BE49-F238E27FC236}">
                  <a16:creationId xmlns:a16="http://schemas.microsoft.com/office/drawing/2014/main" id="{00000000-0008-0000-0400-00000500000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3757613" y="2986088"/>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185736</xdr:colOff>
      <xdr:row>0</xdr:row>
      <xdr:rowOff>0</xdr:rowOff>
    </xdr:from>
    <xdr:to>
      <xdr:col>6</xdr:col>
      <xdr:colOff>504825</xdr:colOff>
      <xdr:row>15</xdr:row>
      <xdr:rowOff>28575</xdr:rowOff>
    </xdr:to>
    <xdr:graphicFrame macro="">
      <xdr:nvGraphicFramePr>
        <xdr:cNvPr id="6" name="Chart 5">
          <a:extLst>
            <a:ext uri="{FF2B5EF4-FFF2-40B4-BE49-F238E27FC236}">
              <a16:creationId xmlns:a16="http://schemas.microsoft.com/office/drawing/2014/main" id="{00000000-0008-0000-04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287337</xdr:colOff>
      <xdr:row>17</xdr:row>
      <xdr:rowOff>28575</xdr:rowOff>
    </xdr:from>
    <xdr:to>
      <xdr:col>10</xdr:col>
      <xdr:colOff>363538</xdr:colOff>
      <xdr:row>32</xdr:row>
      <xdr:rowOff>57150</xdr:rowOff>
    </xdr:to>
    <xdr:graphicFrame macro="">
      <xdr:nvGraphicFramePr>
        <xdr:cNvPr id="7" name="Chart 6">
          <a:extLst>
            <a:ext uri="{FF2B5EF4-FFF2-40B4-BE49-F238E27FC236}">
              <a16:creationId xmlns:a16="http://schemas.microsoft.com/office/drawing/2014/main" id="{00000000-0008-0000-04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128587</xdr:colOff>
      <xdr:row>10</xdr:row>
      <xdr:rowOff>112713</xdr:rowOff>
    </xdr:from>
    <xdr:to>
      <xdr:col>16</xdr:col>
      <xdr:colOff>117475</xdr:colOff>
      <xdr:row>25</xdr:row>
      <xdr:rowOff>141288</xdr:rowOff>
    </xdr:to>
    <xdr:graphicFrame macro="">
      <xdr:nvGraphicFramePr>
        <xdr:cNvPr id="8" name="Chart 7">
          <a:extLst>
            <a:ext uri="{FF2B5EF4-FFF2-40B4-BE49-F238E27FC236}">
              <a16:creationId xmlns:a16="http://schemas.microsoft.com/office/drawing/2014/main" id="{00000000-0008-0000-04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481012</xdr:colOff>
      <xdr:row>25</xdr:row>
      <xdr:rowOff>157162</xdr:rowOff>
    </xdr:from>
    <xdr:to>
      <xdr:col>15</xdr:col>
      <xdr:colOff>490537</xdr:colOff>
      <xdr:row>41</xdr:row>
      <xdr:rowOff>4762</xdr:rowOff>
    </xdr:to>
    <xdr:graphicFrame macro="">
      <xdr:nvGraphicFramePr>
        <xdr:cNvPr id="9" name="Chart 8">
          <a:extLst>
            <a:ext uri="{FF2B5EF4-FFF2-40B4-BE49-F238E27FC236}">
              <a16:creationId xmlns:a16="http://schemas.microsoft.com/office/drawing/2014/main" id="{00000000-0008-0000-04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412750</xdr:colOff>
      <xdr:row>10</xdr:row>
      <xdr:rowOff>177800</xdr:rowOff>
    </xdr:from>
    <xdr:to>
      <xdr:col>10</xdr:col>
      <xdr:colOff>692150</xdr:colOff>
      <xdr:row>25</xdr:row>
      <xdr:rowOff>63500</xdr:rowOff>
    </xdr:to>
    <mc:AlternateContent xmlns:mc="http://schemas.openxmlformats.org/markup-compatibility/2006">
      <mc:Choice xmlns:cx4="http://schemas.microsoft.com/office/drawing/2016/5/10/chartex" Requires="cx4">
        <xdr:graphicFrame macro="">
          <xdr:nvGraphicFramePr>
            <xdr:cNvPr id="10" name="Chart 9">
              <a:extLst>
                <a:ext uri="{FF2B5EF4-FFF2-40B4-BE49-F238E27FC236}">
                  <a16:creationId xmlns:a16="http://schemas.microsoft.com/office/drawing/2014/main" id="{204E0A1E-04DA-DFB2-EA5C-C7DC914680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4870450" y="2082800"/>
              <a:ext cx="4572000" cy="274320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9</xdr:col>
      <xdr:colOff>635000</xdr:colOff>
      <xdr:row>15</xdr:row>
      <xdr:rowOff>88900</xdr:rowOff>
    </xdr:from>
    <xdr:to>
      <xdr:col>10</xdr:col>
      <xdr:colOff>1117600</xdr:colOff>
      <xdr:row>28</xdr:row>
      <xdr:rowOff>41269</xdr:rowOff>
    </xdr:to>
    <mc:AlternateContent xmlns:mc="http://schemas.openxmlformats.org/markup-compatibility/2006">
      <mc:Choice xmlns:sle15="http://schemas.microsoft.com/office/drawing/2012/slicer" Requires="sle15">
        <xdr:graphicFrame macro="">
          <xdr:nvGraphicFramePr>
            <xdr:cNvPr id="11" name="Column1">
              <a:extLst>
                <a:ext uri="{FF2B5EF4-FFF2-40B4-BE49-F238E27FC236}">
                  <a16:creationId xmlns:a16="http://schemas.microsoft.com/office/drawing/2014/main" id="{60460DC9-D051-5A17-486F-B0360208DEDB}"/>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dr:sp macro="" textlink="">
          <xdr:nvSpPr>
            <xdr:cNvPr id="0" name=""/>
            <xdr:cNvSpPr>
              <a:spLocks noTextEdit="1"/>
            </xdr:cNvSpPr>
          </xdr:nvSpPr>
          <xdr:spPr>
            <a:xfrm>
              <a:off x="8229600" y="29464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87313</xdr:colOff>
      <xdr:row>8</xdr:row>
      <xdr:rowOff>7935</xdr:rowOff>
    </xdr:from>
    <xdr:to>
      <xdr:col>2</xdr:col>
      <xdr:colOff>317500</xdr:colOff>
      <xdr:row>43</xdr:row>
      <xdr:rowOff>98778</xdr:rowOff>
    </xdr:to>
    <mc:AlternateContent xmlns:mc="http://schemas.openxmlformats.org/markup-compatibility/2006" xmlns:a14="http://schemas.microsoft.com/office/drawing/2010/main">
      <mc:Choice Requires="a14">
        <xdr:graphicFrame macro="">
          <xdr:nvGraphicFramePr>
            <xdr:cNvPr id="2" name="Product 1">
              <a:extLst>
                <a:ext uri="{FF2B5EF4-FFF2-40B4-BE49-F238E27FC236}">
                  <a16:creationId xmlns:a16="http://schemas.microsoft.com/office/drawing/2014/main" id="{00000000-0008-0000-0500-000002000000}"/>
                </a:ext>
              </a:extLst>
            </xdr:cNvPr>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mlns="">
        <xdr:sp macro="" textlink="">
          <xdr:nvSpPr>
            <xdr:cNvPr id="0" name=""/>
            <xdr:cNvSpPr>
              <a:spLocks noTextEdit="1"/>
            </xdr:cNvSpPr>
          </xdr:nvSpPr>
          <xdr:spPr>
            <a:xfrm>
              <a:off x="87313" y="1588379"/>
              <a:ext cx="1613076" cy="700528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517878</xdr:colOff>
      <xdr:row>37</xdr:row>
      <xdr:rowOff>127705</xdr:rowOff>
    </xdr:from>
    <xdr:to>
      <xdr:col>25</xdr:col>
      <xdr:colOff>365479</xdr:colOff>
      <xdr:row>43</xdr:row>
      <xdr:rowOff>127000</xdr:rowOff>
    </xdr:to>
    <mc:AlternateContent xmlns:mc="http://schemas.openxmlformats.org/markup-compatibility/2006" xmlns:a14="http://schemas.microsoft.com/office/drawing/2010/main">
      <mc:Choice Requires="a14">
        <xdr:graphicFrame macro="">
          <xdr:nvGraphicFramePr>
            <xdr:cNvPr id="3" name="Category 1">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5729656" y="7437261"/>
              <a:ext cx="1921934" cy="118462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368300</xdr:colOff>
      <xdr:row>29</xdr:row>
      <xdr:rowOff>166686</xdr:rowOff>
    </xdr:from>
    <xdr:to>
      <xdr:col>22</xdr:col>
      <xdr:colOff>381000</xdr:colOff>
      <xdr:row>43</xdr:row>
      <xdr:rowOff>126999</xdr:rowOff>
    </xdr:to>
    <mc:AlternateContent xmlns:mc="http://schemas.openxmlformats.org/markup-compatibility/2006" xmlns:a14="http://schemas.microsoft.com/office/drawing/2010/main">
      <mc:Choice Requires="a14">
        <xdr:graphicFrame macro="">
          <xdr:nvGraphicFramePr>
            <xdr:cNvPr id="4" name="Region 1">
              <a:extLst>
                <a:ext uri="{FF2B5EF4-FFF2-40B4-BE49-F238E27FC236}">
                  <a16:creationId xmlns:a16="http://schemas.microsoft.com/office/drawing/2014/main" id="{00000000-0008-0000-0500-000004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505744" y="5895797"/>
              <a:ext cx="2087034" cy="272609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525517</xdr:colOff>
      <xdr:row>0</xdr:row>
      <xdr:rowOff>96178</xdr:rowOff>
    </xdr:from>
    <xdr:to>
      <xdr:col>25</xdr:col>
      <xdr:colOff>380123</xdr:colOff>
      <xdr:row>37</xdr:row>
      <xdr:rowOff>42333</xdr:rowOff>
    </xdr:to>
    <mc:AlternateContent xmlns:mc="http://schemas.openxmlformats.org/markup-compatibility/2006" xmlns:a14="http://schemas.microsoft.com/office/drawing/2010/main">
      <mc:Choice Requires="a14">
        <xdr:graphicFrame macro="">
          <xdr:nvGraphicFramePr>
            <xdr:cNvPr id="5" name="Month 1">
              <a:extLst>
                <a:ext uri="{FF2B5EF4-FFF2-40B4-BE49-F238E27FC236}">
                  <a16:creationId xmlns:a16="http://schemas.microsoft.com/office/drawing/2014/main" id="{00000000-0008-0000-0500-000005000000}"/>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15737295" y="96178"/>
              <a:ext cx="1928939" cy="7255711"/>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393701</xdr:colOff>
      <xdr:row>8</xdr:row>
      <xdr:rowOff>19049</xdr:rowOff>
    </xdr:from>
    <xdr:to>
      <xdr:col>10</xdr:col>
      <xdr:colOff>641351</xdr:colOff>
      <xdr:row>25</xdr:row>
      <xdr:rowOff>152400</xdr:rowOff>
    </xdr:to>
    <xdr:graphicFrame macro="">
      <xdr:nvGraphicFramePr>
        <xdr:cNvPr id="6" name="Chart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50800</xdr:colOff>
      <xdr:row>8</xdr:row>
      <xdr:rowOff>15873</xdr:rowOff>
    </xdr:from>
    <xdr:to>
      <xdr:col>19</xdr:col>
      <xdr:colOff>266700</xdr:colOff>
      <xdr:row>25</xdr:row>
      <xdr:rowOff>155222</xdr:rowOff>
    </xdr:to>
    <xdr:graphicFrame macro="">
      <xdr:nvGraphicFramePr>
        <xdr:cNvPr id="7" name="Chart 6">
          <a:extLst>
            <a:ext uri="{FF2B5EF4-FFF2-40B4-BE49-F238E27FC236}">
              <a16:creationId xmlns:a16="http://schemas.microsoft.com/office/drawing/2014/main" id="{00000000-0008-0000-05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34926</xdr:colOff>
      <xdr:row>26</xdr:row>
      <xdr:rowOff>76198</xdr:rowOff>
    </xdr:from>
    <xdr:to>
      <xdr:col>19</xdr:col>
      <xdr:colOff>253999</xdr:colOff>
      <xdr:row>43</xdr:row>
      <xdr:rowOff>139700</xdr:rowOff>
    </xdr:to>
    <xdr:graphicFrame macro="">
      <xdr:nvGraphicFramePr>
        <xdr:cNvPr id="8" name="Chart 7">
          <a:extLst>
            <a:ext uri="{FF2B5EF4-FFF2-40B4-BE49-F238E27FC236}">
              <a16:creationId xmlns:a16="http://schemas.microsoft.com/office/drawing/2014/main" id="{00000000-0008-0000-05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393700</xdr:colOff>
      <xdr:row>26</xdr:row>
      <xdr:rowOff>50800</xdr:rowOff>
    </xdr:from>
    <xdr:to>
      <xdr:col>10</xdr:col>
      <xdr:colOff>635000</xdr:colOff>
      <xdr:row>43</xdr:row>
      <xdr:rowOff>141111</xdr:rowOff>
    </xdr:to>
    <xdr:graphicFrame macro="">
      <xdr:nvGraphicFramePr>
        <xdr:cNvPr id="9" name="Chart 8">
          <a:extLst>
            <a:ext uri="{FF2B5EF4-FFF2-40B4-BE49-F238E27FC236}">
              <a16:creationId xmlns:a16="http://schemas.microsoft.com/office/drawing/2014/main" id="{00000000-0008-0000-05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377087</xdr:colOff>
      <xdr:row>22</xdr:row>
      <xdr:rowOff>113561</xdr:rowOff>
    </xdr:from>
    <xdr:to>
      <xdr:col>22</xdr:col>
      <xdr:colOff>386612</xdr:colOff>
      <xdr:row>29</xdr:row>
      <xdr:rowOff>87367</xdr:rowOff>
    </xdr:to>
    <xdr:sp macro="" textlink="KPI_pivot!$B$22">
      <xdr:nvSpPr>
        <xdr:cNvPr id="16" name="Rounded Rectangle 15">
          <a:extLst>
            <a:ext uri="{FF2B5EF4-FFF2-40B4-BE49-F238E27FC236}">
              <a16:creationId xmlns:a16="http://schemas.microsoft.com/office/drawing/2014/main" id="{00000000-0008-0000-0500-000010000000}"/>
            </a:ext>
          </a:extLst>
        </xdr:cNvPr>
        <xdr:cNvSpPr/>
      </xdr:nvSpPr>
      <xdr:spPr>
        <a:xfrm>
          <a:off x="13407287" y="4304561"/>
          <a:ext cx="2066925" cy="1307306"/>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1F05A0B5-BBCF-4074-B755-7995EA8DC36C}"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 ₹19,88,223.00 </a:t>
          </a:fld>
          <a:endParaRPr lang="en-US" sz="1800" b="1">
            <a:latin typeface="Arial" panose="020B0604020202020204" pitchFamily="34" charset="0"/>
            <a:cs typeface="Arial" panose="020B0604020202020204" pitchFamily="34" charset="0"/>
          </a:endParaRPr>
        </a:p>
      </xdr:txBody>
    </xdr:sp>
    <xdr:clientData/>
  </xdr:twoCellAnchor>
  <xdr:twoCellAnchor>
    <xdr:from>
      <xdr:col>9</xdr:col>
      <xdr:colOff>504478</xdr:colOff>
      <xdr:row>0</xdr:row>
      <xdr:rowOff>77787</xdr:rowOff>
    </xdr:from>
    <xdr:to>
      <xdr:col>12</xdr:col>
      <xdr:colOff>572800</xdr:colOff>
      <xdr:row>7</xdr:row>
      <xdr:rowOff>39687</xdr:rowOff>
    </xdr:to>
    <xdr:sp macro="" textlink="KPI_pivot!$A$4">
      <xdr:nvSpPr>
        <xdr:cNvPr id="10" name="Rounded Rectangle 9">
          <a:extLst>
            <a:ext uri="{FF2B5EF4-FFF2-40B4-BE49-F238E27FC236}">
              <a16:creationId xmlns:a16="http://schemas.microsoft.com/office/drawing/2014/main" id="{00000000-0008-0000-0500-00000A000000}"/>
            </a:ext>
          </a:extLst>
        </xdr:cNvPr>
        <xdr:cNvSpPr/>
      </xdr:nvSpPr>
      <xdr:spPr>
        <a:xfrm>
          <a:off x="6727478" y="77787"/>
          <a:ext cx="2142655" cy="1344789"/>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14FB154D-9527-4D19-A0AE-86387B5AC60D}"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 ₹2,55,69,819.00 </a:t>
          </a:fld>
          <a:endParaRPr lang="en-US" sz="1800" b="1">
            <a:latin typeface="Arial" panose="020B0604020202020204" pitchFamily="34" charset="0"/>
            <a:cs typeface="Arial" panose="020B0604020202020204" pitchFamily="34" charset="0"/>
          </a:endParaRPr>
        </a:p>
      </xdr:txBody>
    </xdr:sp>
    <xdr:clientData/>
  </xdr:twoCellAnchor>
  <xdr:twoCellAnchor>
    <xdr:from>
      <xdr:col>13</xdr:col>
      <xdr:colOff>38836</xdr:colOff>
      <xdr:row>0</xdr:row>
      <xdr:rowOff>73023</xdr:rowOff>
    </xdr:from>
    <xdr:to>
      <xdr:col>16</xdr:col>
      <xdr:colOff>107158</xdr:colOff>
      <xdr:row>7</xdr:row>
      <xdr:rowOff>34923</xdr:rowOff>
    </xdr:to>
    <xdr:sp macro="" textlink="KPI_pivot!$A$7">
      <xdr:nvSpPr>
        <xdr:cNvPr id="11" name="Rounded Rectangle 10">
          <a:extLst>
            <a:ext uri="{FF2B5EF4-FFF2-40B4-BE49-F238E27FC236}">
              <a16:creationId xmlns:a16="http://schemas.microsoft.com/office/drawing/2014/main" id="{00000000-0008-0000-0500-00000B000000}"/>
            </a:ext>
          </a:extLst>
        </xdr:cNvPr>
        <xdr:cNvSpPr/>
      </xdr:nvSpPr>
      <xdr:spPr>
        <a:xfrm>
          <a:off x="9027614" y="73023"/>
          <a:ext cx="2142655" cy="1344789"/>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09873445-17FB-4D26-803A-B01D03D94699}"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1875</a:t>
          </a:fld>
          <a:endParaRPr lang="en-US" sz="1800" b="1">
            <a:latin typeface="Arial" panose="020B0604020202020204" pitchFamily="34" charset="0"/>
            <a:cs typeface="Arial" panose="020B0604020202020204" pitchFamily="34" charset="0"/>
          </a:endParaRPr>
        </a:p>
      </xdr:txBody>
    </xdr:sp>
    <xdr:clientData/>
  </xdr:twoCellAnchor>
  <xdr:twoCellAnchor>
    <xdr:from>
      <xdr:col>19</xdr:col>
      <xdr:colOff>365688</xdr:colOff>
      <xdr:row>8</xdr:row>
      <xdr:rowOff>3175</xdr:rowOff>
    </xdr:from>
    <xdr:to>
      <xdr:col>22</xdr:col>
      <xdr:colOff>434010</xdr:colOff>
      <xdr:row>14</xdr:row>
      <xdr:rowOff>165100</xdr:rowOff>
    </xdr:to>
    <xdr:sp macro="" textlink="KPI_pivot!$A$10">
      <xdr:nvSpPr>
        <xdr:cNvPr id="12" name="Rounded Rectangle 11">
          <a:extLst>
            <a:ext uri="{FF2B5EF4-FFF2-40B4-BE49-F238E27FC236}">
              <a16:creationId xmlns:a16="http://schemas.microsoft.com/office/drawing/2014/main" id="{00000000-0008-0000-0500-00000C000000}"/>
            </a:ext>
          </a:extLst>
        </xdr:cNvPr>
        <xdr:cNvSpPr/>
      </xdr:nvSpPr>
      <xdr:spPr>
        <a:xfrm>
          <a:off x="13395888" y="1527175"/>
          <a:ext cx="2125722" cy="130492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4376018D-B29F-47AA-A643-54B5E037742A}"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 ₹1,82,641.56 </a:t>
          </a:fld>
          <a:endParaRPr lang="en-US" sz="1800" b="1">
            <a:latin typeface="Arial" panose="020B0604020202020204" pitchFamily="34" charset="0"/>
            <a:cs typeface="Arial" panose="020B0604020202020204" pitchFamily="34" charset="0"/>
          </a:endParaRPr>
        </a:p>
      </xdr:txBody>
    </xdr:sp>
    <xdr:clientData/>
  </xdr:twoCellAnchor>
  <xdr:twoCellAnchor>
    <xdr:from>
      <xdr:col>16</xdr:col>
      <xdr:colOff>205116</xdr:colOff>
      <xdr:row>0</xdr:row>
      <xdr:rowOff>88900</xdr:rowOff>
    </xdr:from>
    <xdr:to>
      <xdr:col>19</xdr:col>
      <xdr:colOff>273438</xdr:colOff>
      <xdr:row>7</xdr:row>
      <xdr:rowOff>50800</xdr:rowOff>
    </xdr:to>
    <xdr:sp macro="" textlink="KPI_pivot!$A$13">
      <xdr:nvSpPr>
        <xdr:cNvPr id="13" name="Rounded Rectangle 12">
          <a:extLst>
            <a:ext uri="{FF2B5EF4-FFF2-40B4-BE49-F238E27FC236}">
              <a16:creationId xmlns:a16="http://schemas.microsoft.com/office/drawing/2014/main" id="{00000000-0008-0000-0500-00000D000000}"/>
            </a:ext>
          </a:extLst>
        </xdr:cNvPr>
        <xdr:cNvSpPr/>
      </xdr:nvSpPr>
      <xdr:spPr>
        <a:xfrm>
          <a:off x="11268227" y="88900"/>
          <a:ext cx="2142655" cy="1344789"/>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632FCEE9-BF6E-4964-B01B-485C83711AE7}"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 ₹5,70,725.00 </a:t>
          </a:fld>
          <a:endParaRPr lang="en-US" sz="1800" b="1">
            <a:latin typeface="Arial" panose="020B0604020202020204" pitchFamily="34" charset="0"/>
            <a:cs typeface="Arial" panose="020B0604020202020204" pitchFamily="34" charset="0"/>
          </a:endParaRPr>
        </a:p>
      </xdr:txBody>
    </xdr:sp>
    <xdr:clientData/>
  </xdr:twoCellAnchor>
  <xdr:twoCellAnchor>
    <xdr:from>
      <xdr:col>19</xdr:col>
      <xdr:colOff>346906</xdr:colOff>
      <xdr:row>0</xdr:row>
      <xdr:rowOff>77786</xdr:rowOff>
    </xdr:from>
    <xdr:to>
      <xdr:col>22</xdr:col>
      <xdr:colOff>415228</xdr:colOff>
      <xdr:row>7</xdr:row>
      <xdr:rowOff>39686</xdr:rowOff>
    </xdr:to>
    <xdr:sp macro="" textlink="KPI_pivot!$A$16">
      <xdr:nvSpPr>
        <xdr:cNvPr id="14" name="Rounded Rectangle 13">
          <a:extLst>
            <a:ext uri="{FF2B5EF4-FFF2-40B4-BE49-F238E27FC236}">
              <a16:creationId xmlns:a16="http://schemas.microsoft.com/office/drawing/2014/main" id="{00000000-0008-0000-0500-00000E000000}"/>
            </a:ext>
          </a:extLst>
        </xdr:cNvPr>
        <xdr:cNvSpPr/>
      </xdr:nvSpPr>
      <xdr:spPr>
        <a:xfrm>
          <a:off x="13377106" y="77786"/>
          <a:ext cx="2125722" cy="1295400"/>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2C8F9D77-D30D-4587-B531-40AC0390B362}"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 ₹2,307.00 </a:t>
          </a:fld>
          <a:endParaRPr lang="en-US" sz="1800" b="1">
            <a:latin typeface="Arial" panose="020B0604020202020204" pitchFamily="34" charset="0"/>
            <a:cs typeface="Arial" panose="020B0604020202020204" pitchFamily="34" charset="0"/>
          </a:endParaRPr>
        </a:p>
      </xdr:txBody>
    </xdr:sp>
    <xdr:clientData/>
  </xdr:twoCellAnchor>
  <xdr:twoCellAnchor>
    <xdr:from>
      <xdr:col>19</xdr:col>
      <xdr:colOff>362880</xdr:colOff>
      <xdr:row>15</xdr:row>
      <xdr:rowOff>53975</xdr:rowOff>
    </xdr:from>
    <xdr:to>
      <xdr:col>22</xdr:col>
      <xdr:colOff>431202</xdr:colOff>
      <xdr:row>22</xdr:row>
      <xdr:rowOff>25400</xdr:rowOff>
    </xdr:to>
    <xdr:sp macro="" textlink="KPI_pivot!$A$19">
      <xdr:nvSpPr>
        <xdr:cNvPr id="15" name="Rounded Rectangle 14">
          <a:extLst>
            <a:ext uri="{FF2B5EF4-FFF2-40B4-BE49-F238E27FC236}">
              <a16:creationId xmlns:a16="http://schemas.microsoft.com/office/drawing/2014/main" id="{00000000-0008-0000-0500-00000F000000}"/>
            </a:ext>
          </a:extLst>
        </xdr:cNvPr>
        <xdr:cNvSpPr/>
      </xdr:nvSpPr>
      <xdr:spPr>
        <a:xfrm>
          <a:off x="13393080" y="2911475"/>
          <a:ext cx="2125722" cy="1304925"/>
        </a:xfrm>
        <a:prstGeom prst="roundRect">
          <a:avLst/>
        </a:prstGeom>
        <a:ln/>
      </xdr:spPr>
      <xdr:style>
        <a:lnRef idx="2">
          <a:schemeClr val="dk1"/>
        </a:lnRef>
        <a:fillRef idx="1">
          <a:schemeClr val="lt1"/>
        </a:fillRef>
        <a:effectRef idx="0">
          <a:schemeClr val="dk1"/>
        </a:effectRef>
        <a:fontRef idx="minor">
          <a:schemeClr val="dk1"/>
        </a:fontRef>
      </xdr:style>
      <xdr:txBody>
        <a:bodyPr vertOverflow="clip" horzOverflow="clip" rtlCol="0" anchor="b"/>
        <a:lstStyle/>
        <a:p>
          <a:pPr algn="ctr"/>
          <a:fld id="{6B3806BB-AC5D-4DC3-B945-B7E63A2538C7}" type="TxLink">
            <a:rPr lang="en-US" sz="1800" b="1" i="0" u="none" strike="noStrike">
              <a:solidFill>
                <a:srgbClr val="000000"/>
              </a:solidFill>
              <a:latin typeface="Arial" panose="020B0604020202020204" pitchFamily="34" charset="0"/>
              <a:ea typeface="Calibri"/>
              <a:cs typeface="Arial" panose="020B0604020202020204" pitchFamily="34" charset="0"/>
            </a:rPr>
            <a:pPr algn="ctr"/>
            <a:t>140</a:t>
          </a:fld>
          <a:endParaRPr lang="en-US" sz="1800" b="1">
            <a:latin typeface="Arial" panose="020B0604020202020204" pitchFamily="34" charset="0"/>
            <a:cs typeface="Arial" panose="020B0604020202020204" pitchFamily="34" charset="0"/>
          </a:endParaRPr>
        </a:p>
      </xdr:txBody>
    </xdr:sp>
    <xdr:clientData/>
  </xdr:twoCellAnchor>
  <xdr:twoCellAnchor>
    <xdr:from>
      <xdr:col>9</xdr:col>
      <xdr:colOff>619537</xdr:colOff>
      <xdr:row>1</xdr:row>
      <xdr:rowOff>160336</xdr:rowOff>
    </xdr:from>
    <xdr:to>
      <xdr:col>12</xdr:col>
      <xdr:colOff>498642</xdr:colOff>
      <xdr:row>3</xdr:row>
      <xdr:rowOff>112711</xdr:rowOff>
    </xdr:to>
    <xdr:sp macro="" textlink="">
      <xdr:nvSpPr>
        <xdr:cNvPr id="17" name="TextBox 16">
          <a:extLst>
            <a:ext uri="{FF2B5EF4-FFF2-40B4-BE49-F238E27FC236}">
              <a16:creationId xmlns:a16="http://schemas.microsoft.com/office/drawing/2014/main" id="{00000000-0008-0000-0500-000011000000}"/>
            </a:ext>
          </a:extLst>
        </xdr:cNvPr>
        <xdr:cNvSpPr txBox="1"/>
      </xdr:nvSpPr>
      <xdr:spPr>
        <a:xfrm>
          <a:off x="6791737" y="350836"/>
          <a:ext cx="1936505" cy="333375"/>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ctr"/>
        <a:lstStyle/>
        <a:p>
          <a:pPr algn="r"/>
          <a:r>
            <a:rPr lang="en-US" sz="1800" b="1">
              <a:solidFill>
                <a:schemeClr val="tx1"/>
              </a:solidFill>
              <a:latin typeface="Arial" panose="020B0604020202020204" pitchFamily="34" charset="0"/>
              <a:cs typeface="Arial" panose="020B0604020202020204" pitchFamily="34" charset="0"/>
            </a:rPr>
            <a:t>Total Sale</a:t>
          </a:r>
        </a:p>
      </xdr:txBody>
    </xdr:sp>
    <xdr:clientData/>
  </xdr:twoCellAnchor>
  <xdr:twoCellAnchor>
    <xdr:from>
      <xdr:col>13</xdr:col>
      <xdr:colOff>53530</xdr:colOff>
      <xdr:row>1</xdr:row>
      <xdr:rowOff>166685</xdr:rowOff>
    </xdr:from>
    <xdr:to>
      <xdr:col>16</xdr:col>
      <xdr:colOff>92464</xdr:colOff>
      <xdr:row>4</xdr:row>
      <xdr:rowOff>113545</xdr:rowOff>
    </xdr:to>
    <xdr:sp macro="" textlink="">
      <xdr:nvSpPr>
        <xdr:cNvPr id="18" name="TextBox 17">
          <a:extLst>
            <a:ext uri="{FF2B5EF4-FFF2-40B4-BE49-F238E27FC236}">
              <a16:creationId xmlns:a16="http://schemas.microsoft.com/office/drawing/2014/main" id="{00000000-0008-0000-0500-000012000000}"/>
            </a:ext>
          </a:extLst>
        </xdr:cNvPr>
        <xdr:cNvSpPr txBox="1"/>
      </xdr:nvSpPr>
      <xdr:spPr>
        <a:xfrm>
          <a:off x="8968930" y="357185"/>
          <a:ext cx="2096334" cy="518360"/>
        </a:xfrm>
        <a:prstGeom prst="rect">
          <a:avLst/>
        </a:prstGeom>
        <a:noFill/>
        <a:ln>
          <a:noFill/>
        </a:ln>
      </xdr:spPr>
      <xdr:style>
        <a:lnRef idx="0">
          <a:scrgbClr r="0" g="0" b="0"/>
        </a:lnRef>
        <a:fillRef idx="0">
          <a:scrgbClr r="0" g="0" b="0"/>
        </a:fillRef>
        <a:effectRef idx="0">
          <a:scrgbClr r="0" g="0" b="0"/>
        </a:effectRef>
        <a:fontRef idx="minor">
          <a:schemeClr val="accent4"/>
        </a:fontRef>
      </xdr:style>
      <xdr:txBody>
        <a:bodyPr vertOverflow="clip" horzOverflow="clip" wrap="square" rtlCol="0" anchor="t"/>
        <a:lstStyle/>
        <a:p>
          <a:pPr algn="r"/>
          <a:r>
            <a:rPr lang="en-US" sz="1800" b="1">
              <a:solidFill>
                <a:schemeClr val="tx1"/>
              </a:solidFill>
              <a:latin typeface="Arial" panose="020B0604020202020204" pitchFamily="34" charset="0"/>
              <a:cs typeface="Arial" panose="020B0604020202020204" pitchFamily="34" charset="0"/>
            </a:rPr>
            <a:t>Total Units Sold</a:t>
          </a:r>
        </a:p>
      </xdr:txBody>
    </xdr:sp>
    <xdr:clientData/>
  </xdr:twoCellAnchor>
  <xdr:twoCellAnchor>
    <xdr:from>
      <xdr:col>19</xdr:col>
      <xdr:colOff>414666</xdr:colOff>
      <xdr:row>9</xdr:row>
      <xdr:rowOff>65087</xdr:rowOff>
    </xdr:from>
    <xdr:to>
      <xdr:col>22</xdr:col>
      <xdr:colOff>429110</xdr:colOff>
      <xdr:row>12</xdr:row>
      <xdr:rowOff>155573</xdr:rowOff>
    </xdr:to>
    <xdr:sp macro="" textlink="">
      <xdr:nvSpPr>
        <xdr:cNvPr id="19" name="TextBox 18">
          <a:extLst>
            <a:ext uri="{FF2B5EF4-FFF2-40B4-BE49-F238E27FC236}">
              <a16:creationId xmlns:a16="http://schemas.microsoft.com/office/drawing/2014/main" id="{00000000-0008-0000-0500-000013000000}"/>
            </a:ext>
          </a:extLst>
        </xdr:cNvPr>
        <xdr:cNvSpPr txBox="1"/>
      </xdr:nvSpPr>
      <xdr:spPr>
        <a:xfrm>
          <a:off x="13444866" y="1779587"/>
          <a:ext cx="2071844" cy="661986"/>
        </a:xfrm>
        <a:prstGeom prst="rect">
          <a:avLst/>
        </a:prstGeom>
        <a:noFill/>
        <a:ln>
          <a:noFill/>
        </a:ln>
      </xdr:spPr>
      <xdr:style>
        <a:lnRef idx="0">
          <a:scrgbClr r="0" g="0" b="0"/>
        </a:lnRef>
        <a:fillRef idx="0">
          <a:scrgbClr r="0" g="0" b="0"/>
        </a:fillRef>
        <a:effectRef idx="0">
          <a:scrgbClr r="0" g="0" b="0"/>
        </a:effectRef>
        <a:fontRef idx="minor">
          <a:schemeClr val="accent2"/>
        </a:fontRef>
      </xdr:style>
      <xdr:txBody>
        <a:bodyPr vertOverflow="clip" horzOverflow="clip" wrap="square" rtlCol="0" anchor="t"/>
        <a:lstStyle/>
        <a:p>
          <a:pPr algn="ctr"/>
          <a:r>
            <a:rPr lang="en-US" sz="1800" b="1">
              <a:solidFill>
                <a:sysClr val="windowText" lastClr="000000"/>
              </a:solidFill>
              <a:latin typeface="Arial" panose="020B0604020202020204" pitchFamily="34" charset="0"/>
              <a:cs typeface="Arial" panose="020B0604020202020204" pitchFamily="34" charset="0"/>
            </a:rPr>
            <a:t>Average Per</a:t>
          </a:r>
          <a:r>
            <a:rPr lang="en-US" sz="1800" b="1" baseline="0">
              <a:solidFill>
                <a:sysClr val="windowText" lastClr="000000"/>
              </a:solidFill>
              <a:latin typeface="Arial" panose="020B0604020202020204" pitchFamily="34" charset="0"/>
              <a:cs typeface="Arial" panose="020B0604020202020204" pitchFamily="34" charset="0"/>
            </a:rPr>
            <a:t> Order</a:t>
          </a:r>
          <a:endParaRPr lang="en-US" sz="1800" b="1">
            <a:solidFill>
              <a:sysClr val="windowText" lastClr="000000"/>
            </a:solidFill>
            <a:latin typeface="Arial" panose="020B0604020202020204" pitchFamily="34" charset="0"/>
            <a:cs typeface="Arial" panose="020B0604020202020204" pitchFamily="34" charset="0"/>
          </a:endParaRPr>
        </a:p>
      </xdr:txBody>
    </xdr:sp>
    <xdr:clientData/>
  </xdr:twoCellAnchor>
  <xdr:twoCellAnchor>
    <xdr:from>
      <xdr:col>16</xdr:col>
      <xdr:colOff>224708</xdr:colOff>
      <xdr:row>1</xdr:row>
      <xdr:rowOff>165099</xdr:rowOff>
    </xdr:from>
    <xdr:to>
      <xdr:col>19</xdr:col>
      <xdr:colOff>253846</xdr:colOff>
      <xdr:row>3</xdr:row>
      <xdr:rowOff>112711</xdr:rowOff>
    </xdr:to>
    <xdr:sp macro="" textlink="">
      <xdr:nvSpPr>
        <xdr:cNvPr id="20" name="TextBox 19">
          <a:extLst>
            <a:ext uri="{FF2B5EF4-FFF2-40B4-BE49-F238E27FC236}">
              <a16:creationId xmlns:a16="http://schemas.microsoft.com/office/drawing/2014/main" id="{00000000-0008-0000-0500-000014000000}"/>
            </a:ext>
          </a:extLst>
        </xdr:cNvPr>
        <xdr:cNvSpPr txBox="1"/>
      </xdr:nvSpPr>
      <xdr:spPr>
        <a:xfrm>
          <a:off x="11197508" y="355599"/>
          <a:ext cx="2086538" cy="328612"/>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pPr algn="r"/>
          <a:r>
            <a:rPr lang="en-US" sz="1800" b="1">
              <a:solidFill>
                <a:schemeClr val="tx1"/>
              </a:solidFill>
            </a:rPr>
            <a:t>Maximum</a:t>
          </a:r>
          <a:r>
            <a:rPr lang="en-US" sz="1800" b="1" baseline="0">
              <a:solidFill>
                <a:schemeClr val="tx1"/>
              </a:solidFill>
            </a:rPr>
            <a:t> Sales</a:t>
          </a:r>
          <a:endParaRPr lang="en-US" sz="1800" b="1">
            <a:solidFill>
              <a:schemeClr val="tx1"/>
            </a:solidFill>
          </a:endParaRPr>
        </a:p>
      </xdr:txBody>
    </xdr:sp>
    <xdr:clientData/>
  </xdr:twoCellAnchor>
  <xdr:twoCellAnchor>
    <xdr:from>
      <xdr:col>19</xdr:col>
      <xdr:colOff>366499</xdr:colOff>
      <xdr:row>1</xdr:row>
      <xdr:rowOff>158748</xdr:rowOff>
    </xdr:from>
    <xdr:to>
      <xdr:col>22</xdr:col>
      <xdr:colOff>395637</xdr:colOff>
      <xdr:row>3</xdr:row>
      <xdr:rowOff>106360</xdr:rowOff>
    </xdr:to>
    <xdr:sp macro="" textlink="">
      <xdr:nvSpPr>
        <xdr:cNvPr id="21" name="TextBox 20">
          <a:extLst>
            <a:ext uri="{FF2B5EF4-FFF2-40B4-BE49-F238E27FC236}">
              <a16:creationId xmlns:a16="http://schemas.microsoft.com/office/drawing/2014/main" id="{00000000-0008-0000-0500-000015000000}"/>
            </a:ext>
          </a:extLst>
        </xdr:cNvPr>
        <xdr:cNvSpPr txBox="1"/>
      </xdr:nvSpPr>
      <xdr:spPr>
        <a:xfrm>
          <a:off x="13396699" y="349248"/>
          <a:ext cx="2086538" cy="328612"/>
        </a:xfrm>
        <a:prstGeom prst="rect">
          <a:avLst/>
        </a:prstGeom>
        <a:noFill/>
        <a:ln>
          <a:noFill/>
        </a:ln>
      </xdr:spPr>
      <xdr:style>
        <a:lnRef idx="0">
          <a:scrgbClr r="0" g="0" b="0"/>
        </a:lnRef>
        <a:fillRef idx="0">
          <a:scrgbClr r="0" g="0" b="0"/>
        </a:fillRef>
        <a:effectRef idx="0">
          <a:scrgbClr r="0" g="0" b="0"/>
        </a:effectRef>
        <a:fontRef idx="minor">
          <a:schemeClr val="accent6"/>
        </a:fontRef>
      </xdr:style>
      <xdr:txBody>
        <a:bodyPr vertOverflow="clip" horzOverflow="clip" wrap="square" rtlCol="0" anchor="t"/>
        <a:lstStyle/>
        <a:p>
          <a:pPr algn="r"/>
          <a:r>
            <a:rPr lang="en-US" sz="1800" b="1">
              <a:solidFill>
                <a:schemeClr val="tx1"/>
              </a:solidFill>
            </a:rPr>
            <a:t>Minimum</a:t>
          </a:r>
          <a:r>
            <a:rPr lang="en-US" sz="1800" b="1" baseline="0">
              <a:solidFill>
                <a:schemeClr val="tx1"/>
              </a:solidFill>
            </a:rPr>
            <a:t> Sales</a:t>
          </a:r>
          <a:endParaRPr lang="en-US" sz="1800" b="1">
            <a:solidFill>
              <a:schemeClr val="tx1"/>
            </a:solidFill>
          </a:endParaRPr>
        </a:p>
      </xdr:txBody>
    </xdr:sp>
    <xdr:clientData/>
  </xdr:twoCellAnchor>
  <xdr:twoCellAnchor>
    <xdr:from>
      <xdr:col>19</xdr:col>
      <xdr:colOff>397166</xdr:colOff>
      <xdr:row>16</xdr:row>
      <xdr:rowOff>107949</xdr:rowOff>
    </xdr:from>
    <xdr:to>
      <xdr:col>22</xdr:col>
      <xdr:colOff>406712</xdr:colOff>
      <xdr:row>18</xdr:row>
      <xdr:rowOff>122236</xdr:rowOff>
    </xdr:to>
    <xdr:sp macro="" textlink="">
      <xdr:nvSpPr>
        <xdr:cNvPr id="22" name="TextBox 21">
          <a:extLst>
            <a:ext uri="{FF2B5EF4-FFF2-40B4-BE49-F238E27FC236}">
              <a16:creationId xmlns:a16="http://schemas.microsoft.com/office/drawing/2014/main" id="{00000000-0008-0000-0500-000016000000}"/>
            </a:ext>
          </a:extLst>
        </xdr:cNvPr>
        <xdr:cNvSpPr txBox="1"/>
      </xdr:nvSpPr>
      <xdr:spPr>
        <a:xfrm>
          <a:off x="13427366" y="3155949"/>
          <a:ext cx="2066946" cy="395287"/>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rial" panose="020B0604020202020204" pitchFamily="34" charset="0"/>
              <a:cs typeface="Arial" panose="020B0604020202020204" pitchFamily="34" charset="0"/>
            </a:rPr>
            <a:t>Total Customers</a:t>
          </a:r>
        </a:p>
      </xdr:txBody>
    </xdr:sp>
    <xdr:clientData/>
  </xdr:twoCellAnchor>
  <xdr:twoCellAnchor>
    <xdr:from>
      <xdr:col>19</xdr:col>
      <xdr:colOff>379034</xdr:colOff>
      <xdr:row>23</xdr:row>
      <xdr:rowOff>136750</xdr:rowOff>
    </xdr:from>
    <xdr:to>
      <xdr:col>22</xdr:col>
      <xdr:colOff>334644</xdr:colOff>
      <xdr:row>27</xdr:row>
      <xdr:rowOff>51706</xdr:rowOff>
    </xdr:to>
    <xdr:sp macro="" textlink="">
      <xdr:nvSpPr>
        <xdr:cNvPr id="23" name="TextBox 22">
          <a:extLst>
            <a:ext uri="{FF2B5EF4-FFF2-40B4-BE49-F238E27FC236}">
              <a16:creationId xmlns:a16="http://schemas.microsoft.com/office/drawing/2014/main" id="{00000000-0008-0000-0500-000017000000}"/>
            </a:ext>
          </a:extLst>
        </xdr:cNvPr>
        <xdr:cNvSpPr txBox="1"/>
      </xdr:nvSpPr>
      <xdr:spPr>
        <a:xfrm>
          <a:off x="13409234" y="4518250"/>
          <a:ext cx="2013010" cy="676956"/>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800" b="1">
              <a:latin typeface="Arial" panose="020B0604020202020204" pitchFamily="34" charset="0"/>
              <a:cs typeface="Arial" panose="020B0604020202020204" pitchFamily="34" charset="0"/>
            </a:rPr>
            <a:t>Top Product Sales</a:t>
          </a:r>
        </a:p>
      </xdr:txBody>
    </xdr:sp>
    <xdr:clientData/>
  </xdr:twoCellAnchor>
  <xdr:twoCellAnchor>
    <xdr:from>
      <xdr:col>0</xdr:col>
      <xdr:colOff>88900</xdr:colOff>
      <xdr:row>0</xdr:row>
      <xdr:rowOff>80225</xdr:rowOff>
    </xdr:from>
    <xdr:to>
      <xdr:col>9</xdr:col>
      <xdr:colOff>368966</xdr:colOff>
      <xdr:row>7</xdr:row>
      <xdr:rowOff>54031</xdr:rowOff>
    </xdr:to>
    <xdr:sp macro="" textlink="">
      <xdr:nvSpPr>
        <xdr:cNvPr id="28" name="Rounded Rectangle 27">
          <a:extLst>
            <a:ext uri="{FF2B5EF4-FFF2-40B4-BE49-F238E27FC236}">
              <a16:creationId xmlns:a16="http://schemas.microsoft.com/office/drawing/2014/main" id="{79A096EE-03A2-0DCC-F7ED-E4EFC7E656D3}"/>
            </a:ext>
          </a:extLst>
        </xdr:cNvPr>
        <xdr:cNvSpPr/>
      </xdr:nvSpPr>
      <xdr:spPr>
        <a:xfrm>
          <a:off x="88900" y="80225"/>
          <a:ext cx="6503066" cy="1356695"/>
        </a:xfrm>
        <a:prstGeom prst="round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r"/>
          <a:r>
            <a:rPr lang="en-US" sz="2400" b="1" i="0" u="none" strike="noStrike">
              <a:solidFill>
                <a:schemeClr val="tx2">
                  <a:lumMod val="60000"/>
                  <a:lumOff val="40000"/>
                </a:schemeClr>
              </a:solidFill>
              <a:latin typeface="Arial" panose="020B0604020202020204" pitchFamily="34" charset="0"/>
              <a:cs typeface="Arial" panose="020B0604020202020204" pitchFamily="34" charset="0"/>
            </a:rPr>
            <a:t>India Sales Performance</a:t>
          </a:r>
          <a:r>
            <a:rPr lang="en-US" sz="2400" b="1" i="0" u="none" strike="noStrike" baseline="0">
              <a:solidFill>
                <a:schemeClr val="tx2">
                  <a:lumMod val="60000"/>
                  <a:lumOff val="40000"/>
                </a:schemeClr>
              </a:solidFill>
              <a:latin typeface="Arial" panose="020B0604020202020204" pitchFamily="34" charset="0"/>
              <a:cs typeface="Arial" panose="020B0604020202020204" pitchFamily="34" charset="0"/>
            </a:rPr>
            <a:t> Dashboard</a:t>
          </a:r>
          <a:endParaRPr lang="en-US" sz="2400" b="1" i="0" u="none" strike="noStrike">
            <a:solidFill>
              <a:schemeClr val="tx2">
                <a:lumMod val="60000"/>
                <a:lumOff val="40000"/>
              </a:schemeClr>
            </a:solidFill>
            <a:latin typeface="Arial" panose="020B0604020202020204" pitchFamily="34" charset="0"/>
            <a:cs typeface="Arial" panose="020B0604020202020204" pitchFamily="34" charset="0"/>
          </a:endParaRPr>
        </a:p>
      </xdr:txBody>
    </xdr:sp>
    <xdr:clientData/>
  </xdr:twoCellAnchor>
  <xdr:twoCellAnchor>
    <xdr:from>
      <xdr:col>0</xdr:col>
      <xdr:colOff>247735</xdr:colOff>
      <xdr:row>1</xdr:row>
      <xdr:rowOff>94544</xdr:rowOff>
    </xdr:from>
    <xdr:to>
      <xdr:col>1</xdr:col>
      <xdr:colOff>423334</xdr:colOff>
      <xdr:row>5</xdr:row>
      <xdr:rowOff>168022</xdr:rowOff>
    </xdr:to>
    <xdr:pic>
      <xdr:nvPicPr>
        <xdr:cNvPr id="30" name="Graphic 29" descr="Bar chart with solid fill">
          <a:extLst>
            <a:ext uri="{FF2B5EF4-FFF2-40B4-BE49-F238E27FC236}">
              <a16:creationId xmlns:a16="http://schemas.microsoft.com/office/drawing/2014/main" id="{97DDB205-AC83-2C32-ADC0-5CAE6B6CB08A}"/>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47735" y="292100"/>
          <a:ext cx="867043" cy="863700"/>
        </a:xfrm>
        <a:prstGeom prst="rect">
          <a:avLst/>
        </a:prstGeom>
      </xdr:spPr>
    </xdr:pic>
    <xdr:clientData/>
  </xdr:twoCellAnchor>
  <xdr:twoCellAnchor editAs="oneCell">
    <xdr:from>
      <xdr:col>9</xdr:col>
      <xdr:colOff>677333</xdr:colOff>
      <xdr:row>1</xdr:row>
      <xdr:rowOff>53620</xdr:rowOff>
    </xdr:from>
    <xdr:to>
      <xdr:col>10</xdr:col>
      <xdr:colOff>522111</xdr:colOff>
      <xdr:row>3</xdr:row>
      <xdr:rowOff>194731</xdr:rowOff>
    </xdr:to>
    <xdr:pic>
      <xdr:nvPicPr>
        <xdr:cNvPr id="49" name="Graphic 48" descr="Money with solid fill">
          <a:extLst>
            <a:ext uri="{FF2B5EF4-FFF2-40B4-BE49-F238E27FC236}">
              <a16:creationId xmlns:a16="http://schemas.microsoft.com/office/drawing/2014/main" id="{11061845-FD65-FDF1-C15D-02E86B53B169}"/>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900333" y="251176"/>
          <a:ext cx="536222" cy="536222"/>
        </a:xfrm>
        <a:prstGeom prst="rect">
          <a:avLst/>
        </a:prstGeom>
      </xdr:spPr>
    </xdr:pic>
    <xdr:clientData/>
  </xdr:twoCellAnchor>
  <xdr:twoCellAnchor editAs="oneCell">
    <xdr:from>
      <xdr:col>16</xdr:col>
      <xdr:colOff>239890</xdr:colOff>
      <xdr:row>1</xdr:row>
      <xdr:rowOff>124176</xdr:rowOff>
    </xdr:from>
    <xdr:to>
      <xdr:col>17</xdr:col>
      <xdr:colOff>56444</xdr:colOff>
      <xdr:row>4</xdr:row>
      <xdr:rowOff>39509</xdr:rowOff>
    </xdr:to>
    <xdr:pic>
      <xdr:nvPicPr>
        <xdr:cNvPr id="51" name="Graphic 50" descr="Bar graph with upward trend with solid fill">
          <a:extLst>
            <a:ext uri="{FF2B5EF4-FFF2-40B4-BE49-F238E27FC236}">
              <a16:creationId xmlns:a16="http://schemas.microsoft.com/office/drawing/2014/main" id="{BA8AA66E-AC53-E447-193F-DC2C1FD56A3F}"/>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1303001" y="321732"/>
          <a:ext cx="507999" cy="507999"/>
        </a:xfrm>
        <a:prstGeom prst="rect">
          <a:avLst/>
        </a:prstGeom>
      </xdr:spPr>
    </xdr:pic>
    <xdr:clientData/>
  </xdr:twoCellAnchor>
  <xdr:twoCellAnchor editAs="oneCell">
    <xdr:from>
      <xdr:col>19</xdr:col>
      <xdr:colOff>381001</xdr:colOff>
      <xdr:row>1</xdr:row>
      <xdr:rowOff>110065</xdr:rowOff>
    </xdr:from>
    <xdr:to>
      <xdr:col>20</xdr:col>
      <xdr:colOff>197555</xdr:colOff>
      <xdr:row>4</xdr:row>
      <xdr:rowOff>25398</xdr:rowOff>
    </xdr:to>
    <xdr:pic>
      <xdr:nvPicPr>
        <xdr:cNvPr id="55" name="Graphic 54" descr="Bar graph with downward trend with solid fill">
          <a:extLst>
            <a:ext uri="{FF2B5EF4-FFF2-40B4-BE49-F238E27FC236}">
              <a16:creationId xmlns:a16="http://schemas.microsoft.com/office/drawing/2014/main" id="{D17F35F0-78C1-644B-B622-E5C42CE2202C}"/>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tretch>
          <a:fillRect/>
        </a:stretch>
      </xdr:blipFill>
      <xdr:spPr>
        <a:xfrm>
          <a:off x="13518445" y="307621"/>
          <a:ext cx="507999" cy="507999"/>
        </a:xfrm>
        <a:prstGeom prst="rect">
          <a:avLst/>
        </a:prstGeom>
      </xdr:spPr>
    </xdr:pic>
    <xdr:clientData/>
  </xdr:twoCellAnchor>
  <xdr:twoCellAnchor editAs="oneCell">
    <xdr:from>
      <xdr:col>19</xdr:col>
      <xdr:colOff>493889</xdr:colOff>
      <xdr:row>18</xdr:row>
      <xdr:rowOff>67732</xdr:rowOff>
    </xdr:from>
    <xdr:to>
      <xdr:col>20</xdr:col>
      <xdr:colOff>324555</xdr:colOff>
      <xdr:row>20</xdr:row>
      <xdr:rowOff>194732</xdr:rowOff>
    </xdr:to>
    <xdr:pic>
      <xdr:nvPicPr>
        <xdr:cNvPr id="57" name="Graphic 56" descr="User with solid fill">
          <a:extLst>
            <a:ext uri="{FF2B5EF4-FFF2-40B4-BE49-F238E27FC236}">
              <a16:creationId xmlns:a16="http://schemas.microsoft.com/office/drawing/2014/main" id="{E84F645C-D3D1-90E9-B293-4F2B9B1F854D}"/>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3631333" y="3623732"/>
          <a:ext cx="522111" cy="522111"/>
        </a:xfrm>
        <a:prstGeom prst="rect">
          <a:avLst/>
        </a:prstGeom>
      </xdr:spPr>
    </xdr:pic>
    <xdr:clientData/>
  </xdr:twoCellAnchor>
  <xdr:twoCellAnchor editAs="oneCell">
    <xdr:from>
      <xdr:col>19</xdr:col>
      <xdr:colOff>451556</xdr:colOff>
      <xdr:row>10</xdr:row>
      <xdr:rowOff>124175</xdr:rowOff>
    </xdr:from>
    <xdr:to>
      <xdr:col>20</xdr:col>
      <xdr:colOff>197556</xdr:colOff>
      <xdr:row>12</xdr:row>
      <xdr:rowOff>166509</xdr:rowOff>
    </xdr:to>
    <xdr:pic>
      <xdr:nvPicPr>
        <xdr:cNvPr id="25" name="Graphic 24" descr="Shopping cart with solid fill">
          <a:extLst>
            <a:ext uri="{FF2B5EF4-FFF2-40B4-BE49-F238E27FC236}">
              <a16:creationId xmlns:a16="http://schemas.microsoft.com/office/drawing/2014/main" id="{6A7884AA-4325-C0ED-AFD0-6F83F9658C11}"/>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3589000" y="2099731"/>
          <a:ext cx="437445" cy="437445"/>
        </a:xfrm>
        <a:prstGeom prst="rect">
          <a:avLst/>
        </a:prstGeom>
      </xdr:spPr>
    </xdr:pic>
    <xdr:clientData/>
  </xdr:twoCellAnchor>
  <xdr:twoCellAnchor editAs="oneCell">
    <xdr:from>
      <xdr:col>13</xdr:col>
      <xdr:colOff>98777</xdr:colOff>
      <xdr:row>3</xdr:row>
      <xdr:rowOff>42333</xdr:rowOff>
    </xdr:from>
    <xdr:to>
      <xdr:col>14</xdr:col>
      <xdr:colOff>11288</xdr:colOff>
      <xdr:row>6</xdr:row>
      <xdr:rowOff>53622</xdr:rowOff>
    </xdr:to>
    <xdr:pic>
      <xdr:nvPicPr>
        <xdr:cNvPr id="27" name="Graphic 26" descr="Statistics with solid fill">
          <a:extLst>
            <a:ext uri="{FF2B5EF4-FFF2-40B4-BE49-F238E27FC236}">
              <a16:creationId xmlns:a16="http://schemas.microsoft.com/office/drawing/2014/main" id="{C6A75E24-048E-764D-76D1-9536C7FBF84C}"/>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9087555" y="635000"/>
          <a:ext cx="603955" cy="603955"/>
        </a:xfrm>
        <a:prstGeom prst="rect">
          <a:avLst/>
        </a:prstGeom>
      </xdr:spPr>
    </xdr:pic>
    <xdr:clientData/>
  </xdr:twoCellAnchor>
  <xdr:twoCellAnchor>
    <xdr:from>
      <xdr:col>25</xdr:col>
      <xdr:colOff>508000</xdr:colOff>
      <xdr:row>0</xdr:row>
      <xdr:rowOff>128410</xdr:rowOff>
    </xdr:from>
    <xdr:to>
      <xdr:col>34</xdr:col>
      <xdr:colOff>0</xdr:colOff>
      <xdr:row>43</xdr:row>
      <xdr:rowOff>141111</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F2A0A704-2E6D-7547-97F2-12012ECF1785}"/>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9"/>
            </a:graphicData>
          </a:graphic>
        </xdr:graphicFrame>
      </mc:Choice>
      <mc:Fallback>
        <xdr:sp macro="" textlink="">
          <xdr:nvSpPr>
            <xdr:cNvPr id="0" name=""/>
            <xdr:cNvSpPr>
              <a:spLocks noTextEdit="1"/>
            </xdr:cNvSpPr>
          </xdr:nvSpPr>
          <xdr:spPr>
            <a:xfrm>
              <a:off x="17794111" y="128410"/>
              <a:ext cx="5715000" cy="8507590"/>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34</xdr:col>
      <xdr:colOff>112889</xdr:colOff>
      <xdr:row>0</xdr:row>
      <xdr:rowOff>127000</xdr:rowOff>
    </xdr:from>
    <xdr:to>
      <xdr:col>36</xdr:col>
      <xdr:colOff>558800</xdr:colOff>
      <xdr:row>21</xdr:row>
      <xdr:rowOff>169333</xdr:rowOff>
    </xdr:to>
    <mc:AlternateContent xmlns:mc="http://schemas.openxmlformats.org/markup-compatibility/2006">
      <mc:Choice xmlns:sle15="http://schemas.microsoft.com/office/drawing/2012/slicer" Requires="sle15">
        <xdr:graphicFrame macro="">
          <xdr:nvGraphicFramePr>
            <xdr:cNvPr id="31" name="Column1 1">
              <a:extLst>
                <a:ext uri="{FF2B5EF4-FFF2-40B4-BE49-F238E27FC236}">
                  <a16:creationId xmlns:a16="http://schemas.microsoft.com/office/drawing/2014/main" id="{2193972C-B731-6549-9F3B-68489CF0F0AC}"/>
                </a:ext>
              </a:extLst>
            </xdr:cNvPr>
            <xdr:cNvGraphicFramePr/>
          </xdr:nvGraphicFramePr>
          <xdr:xfrm>
            <a:off x="0" y="0"/>
            <a:ext cx="0" cy="0"/>
          </xdr:xfrm>
          <a:graphic>
            <a:graphicData uri="http://schemas.microsoft.com/office/drawing/2010/slicer">
              <sle:slicer xmlns:sle="http://schemas.microsoft.com/office/drawing/2010/slicer" name="Column1 1"/>
            </a:graphicData>
          </a:graphic>
        </xdr:graphicFrame>
      </mc:Choice>
      <mc:Fallback>
        <xdr:sp macro="" textlink="">
          <xdr:nvSpPr>
            <xdr:cNvPr id="0" name=""/>
            <xdr:cNvSpPr>
              <a:spLocks noTextEdit="1"/>
            </xdr:cNvSpPr>
          </xdr:nvSpPr>
          <xdr:spPr>
            <a:xfrm>
              <a:off x="23622000" y="127000"/>
              <a:ext cx="1828800" cy="4191000"/>
            </a:xfrm>
            <a:prstGeom prst="rect">
              <a:avLst/>
            </a:prstGeom>
            <a:solidFill>
              <a:prstClr val="white"/>
            </a:solidFill>
            <a:ln w="1">
              <a:solidFill>
                <a:prstClr val="green"/>
              </a:solidFill>
            </a:ln>
          </xdr:spPr>
          <xdr:txBody>
            <a:bodyPr vertOverflow="clip" horzOverflow="clip"/>
            <a:lstStyle/>
            <a:p>
              <a:r>
                <a:rPr lang="en-GB"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u Dhiman" refreshedDate="45977.80864826389" createdVersion="6" refreshedVersion="6" minRefreshableVersion="3" recordCount="140" xr:uid="{00000000-000A-0000-FFFF-FFFF00000000}">
  <cacheSource type="worksheet">
    <worksheetSource ref="A1:I141" sheet="Clean Data"/>
  </cacheSource>
  <cacheFields count="9">
    <cacheField name="Date" numFmtId="165">
      <sharedItems containsSemiMixedTypes="0" containsNonDate="0" containsDate="1" containsString="0" minDate="2024-04-01T00:00:00" maxDate="2025-03-29T00:00:00"/>
    </cacheField>
    <cacheField name="Name" numFmtId="0">
      <sharedItems/>
    </cacheField>
    <cacheField name="Product" numFmtId="0">
      <sharedItems count="14">
        <s v="Steel Table"/>
        <s v="Bed Frame"/>
        <s v="Aluminium Frame"/>
        <s v="Wardrobe"/>
        <s v="Iron Rack"/>
        <s v="Wooden Chair"/>
        <s v="Copper Shelf"/>
        <s v="Coffee Table"/>
        <s v="Sofa Set"/>
        <s v="Dining Table"/>
        <s v="Bookshelf"/>
        <s v="Tv Unit"/>
        <s v="Iron Bed"/>
        <s v="Metal Chair"/>
      </sharedItems>
    </cacheField>
    <cacheField name="Category" numFmtId="0">
      <sharedItems count="2">
        <s v="Metal"/>
        <s v="Furniture"/>
      </sharedItems>
    </cacheField>
    <cacheField name="Region" numFmtId="0">
      <sharedItems count="8">
        <s v="Gujarat"/>
        <s v="Maharashtra"/>
        <s v="Delhi"/>
        <s v="Tamil Nadu"/>
        <s v="Punjab"/>
        <s v="Rajasthan"/>
        <s v="West Bengal"/>
        <s v="Haryana"/>
      </sharedItems>
    </cacheField>
    <cacheField name="Units Sold" numFmtId="0">
      <sharedItems containsSemiMixedTypes="0" containsString="0" containsNumber="1" containsInteger="1" minValue="1" maxValue="25"/>
    </cacheField>
    <cacheField name="Unit Price (₹)" numFmtId="0">
      <sharedItems containsSemiMixedTypes="0" containsString="0" containsNumber="1" containsInteger="1" minValue="1132" maxValue="24886"/>
    </cacheField>
    <cacheField name="Total Sales (₹)" numFmtId="0">
      <sharedItems containsSemiMixedTypes="0" containsString="0" containsNumber="1" containsInteger="1" minValue="2307" maxValue="570725"/>
    </cacheField>
    <cacheField name="Month" numFmtId="0">
      <sharedItems count="12">
        <s v="March"/>
        <s v="November"/>
        <s v="May"/>
        <s v="February"/>
        <s v="September"/>
        <s v="October"/>
        <s v="June"/>
        <s v="January"/>
        <s v="August"/>
        <s v="December"/>
        <s v="July"/>
        <s v="April"/>
      </sharedItems>
    </cacheField>
  </cacheFields>
  <extLst>
    <ext xmlns:x14="http://schemas.microsoft.com/office/spreadsheetml/2009/9/main" uri="{725AE2AE-9491-48be-B2B4-4EB974FC3084}">
      <x14:pivotCacheDefinition pivotCacheId="2"/>
    </ext>
  </extLst>
</pivotCacheDefinition>
</file>

<file path=xl/pivotCache/pivotCacheRecords1.xml><?xml version="1.0" encoding="utf-8"?>
<pivotCacheRecords xmlns="http://schemas.openxmlformats.org/spreadsheetml/2006/main" xmlns:r="http://schemas.openxmlformats.org/officeDocument/2006/relationships" count="140">
  <r>
    <d v="2025-03-26T00:00:00"/>
    <s v="Neha Verma"/>
    <x v="0"/>
    <x v="0"/>
    <x v="0"/>
    <n v="14"/>
    <n v="4560"/>
    <n v="63840"/>
    <x v="0"/>
  </r>
  <r>
    <d v="2024-11-24T00:00:00"/>
    <s v="Priya Joshi"/>
    <x v="1"/>
    <x v="1"/>
    <x v="1"/>
    <n v="5"/>
    <n v="22675"/>
    <n v="113375"/>
    <x v="1"/>
  </r>
  <r>
    <d v="2024-05-09T00:00:00"/>
    <s v="Priya Kumar"/>
    <x v="2"/>
    <x v="0"/>
    <x v="2"/>
    <n v="3"/>
    <n v="8545"/>
    <n v="25635"/>
    <x v="2"/>
  </r>
  <r>
    <d v="2025-02-15T00:00:00"/>
    <s v="Neha Verma"/>
    <x v="0"/>
    <x v="0"/>
    <x v="1"/>
    <n v="10"/>
    <n v="15156"/>
    <n v="151560"/>
    <x v="3"/>
  </r>
  <r>
    <d v="2024-09-02T00:00:00"/>
    <s v="Priya Singh"/>
    <x v="3"/>
    <x v="1"/>
    <x v="3"/>
    <n v="4"/>
    <n v="4307"/>
    <n v="17228"/>
    <x v="4"/>
  </r>
  <r>
    <d v="2024-10-20T00:00:00"/>
    <s v="Anil Singh"/>
    <x v="4"/>
    <x v="0"/>
    <x v="0"/>
    <n v="24"/>
    <n v="19194"/>
    <n v="460656"/>
    <x v="5"/>
  </r>
  <r>
    <d v="2025-02-27T00:00:00"/>
    <s v="Amit Patel"/>
    <x v="5"/>
    <x v="1"/>
    <x v="0"/>
    <n v="1"/>
    <n v="21159"/>
    <n v="21159"/>
    <x v="3"/>
  </r>
  <r>
    <d v="2024-06-21T00:00:00"/>
    <s v="Anil Patel"/>
    <x v="6"/>
    <x v="0"/>
    <x v="3"/>
    <n v="25"/>
    <n v="17881"/>
    <n v="447025"/>
    <x v="6"/>
  </r>
  <r>
    <d v="2025-02-11T00:00:00"/>
    <s v="Sneha Joshi"/>
    <x v="7"/>
    <x v="1"/>
    <x v="3"/>
    <n v="19"/>
    <n v="14851"/>
    <n v="282169"/>
    <x v="3"/>
  </r>
  <r>
    <d v="2025-01-04T00:00:00"/>
    <s v="Anil Singh"/>
    <x v="8"/>
    <x v="1"/>
    <x v="4"/>
    <n v="2"/>
    <n v="6236"/>
    <n v="12472"/>
    <x v="7"/>
  </r>
  <r>
    <d v="2024-08-16T00:00:00"/>
    <s v="Sneha Thakur"/>
    <x v="8"/>
    <x v="1"/>
    <x v="5"/>
    <n v="9"/>
    <n v="6747"/>
    <n v="60723"/>
    <x v="8"/>
  </r>
  <r>
    <d v="2024-09-08T00:00:00"/>
    <s v="Vikas Sharma"/>
    <x v="2"/>
    <x v="0"/>
    <x v="6"/>
    <n v="19"/>
    <n v="7028"/>
    <n v="133532"/>
    <x v="4"/>
  </r>
  <r>
    <d v="2025-03-19T00:00:00"/>
    <s v="Rahul Patel"/>
    <x v="9"/>
    <x v="1"/>
    <x v="1"/>
    <n v="23"/>
    <n v="17772"/>
    <n v="408756"/>
    <x v="0"/>
  </r>
  <r>
    <d v="2024-06-22T00:00:00"/>
    <s v="Sneha Kumar"/>
    <x v="10"/>
    <x v="1"/>
    <x v="4"/>
    <n v="12"/>
    <n v="10876"/>
    <n v="130512"/>
    <x v="6"/>
  </r>
  <r>
    <d v="2024-12-06T00:00:00"/>
    <s v="Neha Verma"/>
    <x v="9"/>
    <x v="1"/>
    <x v="0"/>
    <n v="24"/>
    <n v="3761"/>
    <n v="90264"/>
    <x v="9"/>
  </r>
  <r>
    <d v="2024-11-06T00:00:00"/>
    <s v="Ravi Kumar"/>
    <x v="11"/>
    <x v="1"/>
    <x v="3"/>
    <n v="13"/>
    <n v="11526"/>
    <n v="149838"/>
    <x v="1"/>
  </r>
  <r>
    <d v="2024-08-16T00:00:00"/>
    <s v="Meena Mehta"/>
    <x v="1"/>
    <x v="1"/>
    <x v="0"/>
    <n v="21"/>
    <n v="17158"/>
    <n v="360318"/>
    <x v="8"/>
  </r>
  <r>
    <d v="2025-01-21T00:00:00"/>
    <s v="Sneha Yadav"/>
    <x v="4"/>
    <x v="0"/>
    <x v="0"/>
    <n v="4"/>
    <n v="3976"/>
    <n v="15904"/>
    <x v="7"/>
  </r>
  <r>
    <d v="2024-07-06T00:00:00"/>
    <s v="Neha Yadav"/>
    <x v="7"/>
    <x v="1"/>
    <x v="2"/>
    <n v="11"/>
    <n v="16298"/>
    <n v="179278"/>
    <x v="10"/>
  </r>
  <r>
    <d v="2024-09-05T00:00:00"/>
    <s v="Priya Joshi"/>
    <x v="6"/>
    <x v="0"/>
    <x v="3"/>
    <n v="23"/>
    <n v="13989"/>
    <n v="321747"/>
    <x v="4"/>
  </r>
  <r>
    <d v="2024-06-20T00:00:00"/>
    <s v="Ravi Sharma"/>
    <x v="9"/>
    <x v="1"/>
    <x v="4"/>
    <n v="22"/>
    <n v="8507"/>
    <n v="187154"/>
    <x v="6"/>
  </r>
  <r>
    <d v="2024-11-23T00:00:00"/>
    <s v="Neha Thakur"/>
    <x v="0"/>
    <x v="0"/>
    <x v="7"/>
    <n v="20"/>
    <n v="17134"/>
    <n v="342680"/>
    <x v="1"/>
  </r>
  <r>
    <d v="2025-03-07T00:00:00"/>
    <s v="Ravi Reddy"/>
    <x v="12"/>
    <x v="0"/>
    <x v="3"/>
    <n v="13"/>
    <n v="18754"/>
    <n v="243802"/>
    <x v="0"/>
  </r>
  <r>
    <d v="2024-09-20T00:00:00"/>
    <s v="Rahul Sharma"/>
    <x v="9"/>
    <x v="1"/>
    <x v="7"/>
    <n v="12"/>
    <n v="20582"/>
    <n v="246984"/>
    <x v="4"/>
  </r>
  <r>
    <d v="2025-02-14T00:00:00"/>
    <s v="Priya Mehta"/>
    <x v="12"/>
    <x v="0"/>
    <x v="6"/>
    <n v="11"/>
    <n v="21338"/>
    <n v="234718"/>
    <x v="3"/>
  </r>
  <r>
    <d v="2024-12-20T00:00:00"/>
    <s v="Sneha Patel"/>
    <x v="3"/>
    <x v="1"/>
    <x v="1"/>
    <n v="24"/>
    <n v="19511"/>
    <n v="468264"/>
    <x v="9"/>
  </r>
  <r>
    <d v="2024-06-20T00:00:00"/>
    <s v="Pooja Reddy"/>
    <x v="11"/>
    <x v="1"/>
    <x v="3"/>
    <n v="21"/>
    <n v="14703"/>
    <n v="308763"/>
    <x v="6"/>
  </r>
  <r>
    <d v="2024-08-17T00:00:00"/>
    <s v="Neha Sharma"/>
    <x v="13"/>
    <x v="0"/>
    <x v="0"/>
    <n v="11"/>
    <n v="4717"/>
    <n v="51887"/>
    <x v="8"/>
  </r>
  <r>
    <d v="2024-12-27T00:00:00"/>
    <s v="Amit Sharma"/>
    <x v="2"/>
    <x v="0"/>
    <x v="3"/>
    <n v="25"/>
    <n v="21803"/>
    <n v="545075"/>
    <x v="9"/>
  </r>
  <r>
    <d v="2024-08-13T00:00:00"/>
    <s v="Anil Thakur"/>
    <x v="9"/>
    <x v="1"/>
    <x v="0"/>
    <n v="5"/>
    <n v="13052"/>
    <n v="65260"/>
    <x v="8"/>
  </r>
  <r>
    <d v="2024-08-17T00:00:00"/>
    <s v="Amit Patel"/>
    <x v="10"/>
    <x v="1"/>
    <x v="2"/>
    <n v="11"/>
    <n v="13945"/>
    <n v="153395"/>
    <x v="8"/>
  </r>
  <r>
    <d v="2024-08-18T00:00:00"/>
    <s v="Priya Reddy"/>
    <x v="6"/>
    <x v="0"/>
    <x v="2"/>
    <n v="14"/>
    <n v="24869"/>
    <n v="348166"/>
    <x v="8"/>
  </r>
  <r>
    <d v="2024-11-12T00:00:00"/>
    <s v="Amit Verma"/>
    <x v="4"/>
    <x v="0"/>
    <x v="5"/>
    <n v="4"/>
    <n v="2941"/>
    <n v="11764"/>
    <x v="1"/>
  </r>
  <r>
    <d v="2024-07-23T00:00:00"/>
    <s v="Neha Verma"/>
    <x v="12"/>
    <x v="0"/>
    <x v="7"/>
    <n v="16"/>
    <n v="18936"/>
    <n v="302976"/>
    <x v="10"/>
  </r>
  <r>
    <d v="2024-08-06T00:00:00"/>
    <s v="Priya Yadav"/>
    <x v="4"/>
    <x v="0"/>
    <x v="2"/>
    <n v="16"/>
    <n v="8088"/>
    <n v="129408"/>
    <x v="8"/>
  </r>
  <r>
    <d v="2024-11-03T00:00:00"/>
    <s v="Amit Mehta"/>
    <x v="0"/>
    <x v="0"/>
    <x v="1"/>
    <n v="21"/>
    <n v="9383"/>
    <n v="197043"/>
    <x v="1"/>
  </r>
  <r>
    <d v="2024-06-18T00:00:00"/>
    <s v="Sneha Sharma"/>
    <x v="8"/>
    <x v="1"/>
    <x v="0"/>
    <n v="15"/>
    <n v="23720"/>
    <n v="355800"/>
    <x v="6"/>
  </r>
  <r>
    <d v="2024-10-13T00:00:00"/>
    <s v="Meena Singh"/>
    <x v="11"/>
    <x v="1"/>
    <x v="0"/>
    <n v="15"/>
    <n v="21702"/>
    <n v="325530"/>
    <x v="5"/>
  </r>
  <r>
    <d v="2025-02-17T00:00:00"/>
    <s v="Sneha Yadav"/>
    <x v="7"/>
    <x v="1"/>
    <x v="0"/>
    <n v="5"/>
    <n v="22297"/>
    <n v="111485"/>
    <x v="3"/>
  </r>
  <r>
    <d v="2024-05-28T00:00:00"/>
    <s v="Neha Patel"/>
    <x v="3"/>
    <x v="1"/>
    <x v="1"/>
    <n v="24"/>
    <n v="4158"/>
    <n v="99792"/>
    <x v="2"/>
  </r>
  <r>
    <d v="2024-07-01T00:00:00"/>
    <s v="Priya Reddy"/>
    <x v="0"/>
    <x v="0"/>
    <x v="6"/>
    <n v="12"/>
    <n v="24672"/>
    <n v="296064"/>
    <x v="10"/>
  </r>
  <r>
    <d v="2025-03-04T00:00:00"/>
    <s v="Rahul Yadav"/>
    <x v="13"/>
    <x v="0"/>
    <x v="5"/>
    <n v="24"/>
    <n v="2575"/>
    <n v="61800"/>
    <x v="0"/>
  </r>
  <r>
    <d v="2025-01-14T00:00:00"/>
    <s v="Vikas Patel"/>
    <x v="9"/>
    <x v="1"/>
    <x v="3"/>
    <n v="5"/>
    <n v="12236"/>
    <n v="61180"/>
    <x v="7"/>
  </r>
  <r>
    <d v="2024-05-03T00:00:00"/>
    <s v="Meena Thakur"/>
    <x v="0"/>
    <x v="0"/>
    <x v="0"/>
    <n v="19"/>
    <n v="8016"/>
    <n v="152304"/>
    <x v="2"/>
  </r>
  <r>
    <d v="2025-03-20T00:00:00"/>
    <s v="Sneha Joshi"/>
    <x v="12"/>
    <x v="0"/>
    <x v="2"/>
    <n v="3"/>
    <n v="10441"/>
    <n v="31323"/>
    <x v="0"/>
  </r>
  <r>
    <d v="2025-01-01T00:00:00"/>
    <s v="Pooja Thakur"/>
    <x v="13"/>
    <x v="0"/>
    <x v="6"/>
    <n v="15"/>
    <n v="11344"/>
    <n v="170160"/>
    <x v="7"/>
  </r>
  <r>
    <d v="2024-09-13T00:00:00"/>
    <s v="Priya Patel"/>
    <x v="0"/>
    <x v="0"/>
    <x v="2"/>
    <n v="25"/>
    <n v="22829"/>
    <n v="570725"/>
    <x v="4"/>
  </r>
  <r>
    <d v="2024-04-13T00:00:00"/>
    <s v="Sneha Reddy"/>
    <x v="1"/>
    <x v="1"/>
    <x v="4"/>
    <n v="15"/>
    <n v="14380"/>
    <n v="215700"/>
    <x v="11"/>
  </r>
  <r>
    <d v="2024-07-14T00:00:00"/>
    <s v="Sneha Verma"/>
    <x v="2"/>
    <x v="0"/>
    <x v="2"/>
    <n v="3"/>
    <n v="21584"/>
    <n v="64752"/>
    <x v="10"/>
  </r>
  <r>
    <d v="2025-03-15T00:00:00"/>
    <s v="Priya Yadav"/>
    <x v="2"/>
    <x v="0"/>
    <x v="6"/>
    <n v="20"/>
    <n v="16137"/>
    <n v="322740"/>
    <x v="0"/>
  </r>
  <r>
    <d v="2025-01-29T00:00:00"/>
    <s v="Neha Sharma"/>
    <x v="13"/>
    <x v="0"/>
    <x v="3"/>
    <n v="15"/>
    <n v="8790"/>
    <n v="131850"/>
    <x v="7"/>
  </r>
  <r>
    <d v="2024-06-07T00:00:00"/>
    <s v="Pooja Sharma"/>
    <x v="6"/>
    <x v="0"/>
    <x v="2"/>
    <n v="15"/>
    <n v="21154"/>
    <n v="317310"/>
    <x v="6"/>
  </r>
  <r>
    <d v="2025-02-05T00:00:00"/>
    <s v="Vikas Patel"/>
    <x v="4"/>
    <x v="0"/>
    <x v="3"/>
    <n v="13"/>
    <n v="22809"/>
    <n v="296517"/>
    <x v="3"/>
  </r>
  <r>
    <d v="2024-09-04T00:00:00"/>
    <s v="Neha Patel"/>
    <x v="9"/>
    <x v="1"/>
    <x v="3"/>
    <n v="22"/>
    <n v="3460"/>
    <n v="76120"/>
    <x v="4"/>
  </r>
  <r>
    <d v="2024-10-17T00:00:00"/>
    <s v="Rahul Singh"/>
    <x v="12"/>
    <x v="0"/>
    <x v="5"/>
    <n v="5"/>
    <n v="21190"/>
    <n v="105950"/>
    <x v="5"/>
  </r>
  <r>
    <d v="2025-03-24T00:00:00"/>
    <s v="Priya Kumar"/>
    <x v="11"/>
    <x v="1"/>
    <x v="3"/>
    <n v="16"/>
    <n v="16486"/>
    <n v="263776"/>
    <x v="0"/>
  </r>
  <r>
    <d v="2025-03-20T00:00:00"/>
    <s v="Pooja Reddy"/>
    <x v="5"/>
    <x v="1"/>
    <x v="1"/>
    <n v="14"/>
    <n v="4976"/>
    <n v="69664"/>
    <x v="0"/>
  </r>
  <r>
    <d v="2024-07-07T00:00:00"/>
    <s v="Rahul Singh"/>
    <x v="4"/>
    <x v="0"/>
    <x v="3"/>
    <n v="15"/>
    <n v="8985"/>
    <n v="134775"/>
    <x v="10"/>
  </r>
  <r>
    <d v="2024-08-10T00:00:00"/>
    <s v="Meena Reddy"/>
    <x v="4"/>
    <x v="0"/>
    <x v="4"/>
    <n v="25"/>
    <n v="6166"/>
    <n v="154150"/>
    <x v="8"/>
  </r>
  <r>
    <d v="2024-11-25T00:00:00"/>
    <s v="Neha Yadav"/>
    <x v="0"/>
    <x v="0"/>
    <x v="6"/>
    <n v="25"/>
    <n v="19939"/>
    <n v="498475"/>
    <x v="1"/>
  </r>
  <r>
    <d v="2025-02-26T00:00:00"/>
    <s v="Vikas Patel"/>
    <x v="8"/>
    <x v="1"/>
    <x v="1"/>
    <n v="15"/>
    <n v="13233"/>
    <n v="198495"/>
    <x v="3"/>
  </r>
  <r>
    <d v="2024-10-12T00:00:00"/>
    <s v="Anil Joshi"/>
    <x v="7"/>
    <x v="1"/>
    <x v="3"/>
    <n v="14"/>
    <n v="23625"/>
    <n v="330750"/>
    <x v="5"/>
  </r>
  <r>
    <d v="2024-12-30T00:00:00"/>
    <s v="Meena Reddy"/>
    <x v="7"/>
    <x v="1"/>
    <x v="2"/>
    <n v="3"/>
    <n v="21861"/>
    <n v="65583"/>
    <x v="9"/>
  </r>
  <r>
    <d v="2024-04-04T00:00:00"/>
    <s v="Neha Sharma"/>
    <x v="5"/>
    <x v="1"/>
    <x v="2"/>
    <n v="11"/>
    <n v="3121"/>
    <n v="34331"/>
    <x v="11"/>
  </r>
  <r>
    <d v="2024-09-25T00:00:00"/>
    <s v="Pooja Sharma"/>
    <x v="12"/>
    <x v="0"/>
    <x v="7"/>
    <n v="1"/>
    <n v="14564"/>
    <n v="14564"/>
    <x v="4"/>
  </r>
  <r>
    <d v="2024-11-13T00:00:00"/>
    <s v="Ravi Sharma"/>
    <x v="11"/>
    <x v="1"/>
    <x v="3"/>
    <n v="17"/>
    <n v="22553"/>
    <n v="383401"/>
    <x v="1"/>
  </r>
  <r>
    <d v="2024-12-28T00:00:00"/>
    <s v="Meena Thakur"/>
    <x v="6"/>
    <x v="0"/>
    <x v="6"/>
    <n v="18"/>
    <n v="15411"/>
    <n v="277398"/>
    <x v="9"/>
  </r>
  <r>
    <d v="2024-12-28T00:00:00"/>
    <s v="Ravi Singh"/>
    <x v="2"/>
    <x v="0"/>
    <x v="1"/>
    <n v="3"/>
    <n v="20771"/>
    <n v="62313"/>
    <x v="9"/>
  </r>
  <r>
    <d v="2024-07-08T00:00:00"/>
    <s v="Anil Sharma"/>
    <x v="13"/>
    <x v="0"/>
    <x v="3"/>
    <n v="12"/>
    <n v="21820"/>
    <n v="261840"/>
    <x v="10"/>
  </r>
  <r>
    <d v="2024-08-14T00:00:00"/>
    <s v="Vikas Sharma"/>
    <x v="11"/>
    <x v="1"/>
    <x v="6"/>
    <n v="3"/>
    <n v="18889"/>
    <n v="56667"/>
    <x v="8"/>
  </r>
  <r>
    <d v="2024-08-08T00:00:00"/>
    <s v="Amit Thakur"/>
    <x v="11"/>
    <x v="1"/>
    <x v="2"/>
    <n v="12"/>
    <n v="8147"/>
    <n v="97764"/>
    <x v="8"/>
  </r>
  <r>
    <d v="2024-07-11T00:00:00"/>
    <s v="Priya Verma"/>
    <x v="1"/>
    <x v="1"/>
    <x v="4"/>
    <n v="19"/>
    <n v="2145"/>
    <n v="40755"/>
    <x v="10"/>
  </r>
  <r>
    <d v="2025-03-08T00:00:00"/>
    <s v="Vikas Yadav"/>
    <x v="10"/>
    <x v="1"/>
    <x v="1"/>
    <n v="8"/>
    <n v="6124"/>
    <n v="48992"/>
    <x v="0"/>
  </r>
  <r>
    <d v="2025-01-03T00:00:00"/>
    <s v="Amit Kumar"/>
    <x v="10"/>
    <x v="1"/>
    <x v="5"/>
    <n v="17"/>
    <n v="18203"/>
    <n v="309451"/>
    <x v="7"/>
  </r>
  <r>
    <d v="2025-01-10T00:00:00"/>
    <s v="Neha Verma"/>
    <x v="4"/>
    <x v="0"/>
    <x v="0"/>
    <n v="2"/>
    <n v="19778"/>
    <n v="39556"/>
    <x v="7"/>
  </r>
  <r>
    <d v="2024-12-31T00:00:00"/>
    <s v="Neha Joshi"/>
    <x v="1"/>
    <x v="1"/>
    <x v="3"/>
    <n v="24"/>
    <n v="20119"/>
    <n v="482856"/>
    <x v="9"/>
  </r>
  <r>
    <d v="2024-08-27T00:00:00"/>
    <s v="Priya Yadav"/>
    <x v="1"/>
    <x v="1"/>
    <x v="3"/>
    <n v="15"/>
    <n v="21630"/>
    <n v="324450"/>
    <x v="8"/>
  </r>
  <r>
    <d v="2025-01-09T00:00:00"/>
    <s v="Anil Reddy"/>
    <x v="3"/>
    <x v="1"/>
    <x v="0"/>
    <n v="23"/>
    <n v="12035"/>
    <n v="276805"/>
    <x v="7"/>
  </r>
  <r>
    <d v="2024-12-05T00:00:00"/>
    <s v="Sneha Sharma"/>
    <x v="3"/>
    <x v="1"/>
    <x v="3"/>
    <n v="8"/>
    <n v="9703"/>
    <n v="77624"/>
    <x v="9"/>
  </r>
  <r>
    <d v="2024-09-07T00:00:00"/>
    <s v="Anil Reddy"/>
    <x v="5"/>
    <x v="1"/>
    <x v="6"/>
    <n v="13"/>
    <n v="24229"/>
    <n v="314977"/>
    <x v="4"/>
  </r>
  <r>
    <d v="2024-09-09T00:00:00"/>
    <s v="Priya Yadav"/>
    <x v="13"/>
    <x v="0"/>
    <x v="2"/>
    <n v="22"/>
    <n v="18579"/>
    <n v="408738"/>
    <x v="4"/>
  </r>
  <r>
    <d v="2024-11-28T00:00:00"/>
    <s v="Vikas Singh"/>
    <x v="11"/>
    <x v="1"/>
    <x v="6"/>
    <n v="7"/>
    <n v="20440"/>
    <n v="143080"/>
    <x v="1"/>
  </r>
  <r>
    <d v="2024-10-04T00:00:00"/>
    <s v="Pooja Patel"/>
    <x v="10"/>
    <x v="1"/>
    <x v="3"/>
    <n v="23"/>
    <n v="23198"/>
    <n v="533554"/>
    <x v="5"/>
  </r>
  <r>
    <d v="2025-01-01T00:00:00"/>
    <s v="Meena Yadav"/>
    <x v="12"/>
    <x v="0"/>
    <x v="6"/>
    <n v="12"/>
    <n v="7986"/>
    <n v="95832"/>
    <x v="7"/>
  </r>
  <r>
    <d v="2024-11-09T00:00:00"/>
    <s v="Sneha Singh"/>
    <x v="9"/>
    <x v="1"/>
    <x v="3"/>
    <n v="1"/>
    <n v="2307"/>
    <n v="2307"/>
    <x v="1"/>
  </r>
  <r>
    <d v="2024-08-21T00:00:00"/>
    <s v="Rahul Mehta"/>
    <x v="8"/>
    <x v="1"/>
    <x v="3"/>
    <n v="5"/>
    <n v="7855"/>
    <n v="39275"/>
    <x v="8"/>
  </r>
  <r>
    <d v="2024-09-22T00:00:00"/>
    <s v="Rahul Singh"/>
    <x v="3"/>
    <x v="1"/>
    <x v="5"/>
    <n v="1"/>
    <n v="24461"/>
    <n v="24461"/>
    <x v="4"/>
  </r>
  <r>
    <d v="2024-11-01T00:00:00"/>
    <s v="Neha Mehta"/>
    <x v="13"/>
    <x v="0"/>
    <x v="0"/>
    <n v="9"/>
    <n v="13769"/>
    <n v="123921"/>
    <x v="1"/>
  </r>
  <r>
    <d v="2025-03-22T00:00:00"/>
    <s v="Priya Yadav"/>
    <x v="1"/>
    <x v="1"/>
    <x v="6"/>
    <n v="11"/>
    <n v="18580"/>
    <n v="204380"/>
    <x v="0"/>
  </r>
  <r>
    <d v="2025-01-25T00:00:00"/>
    <s v="Sneha Sharma"/>
    <x v="12"/>
    <x v="0"/>
    <x v="5"/>
    <n v="12"/>
    <n v="14180"/>
    <n v="170160"/>
    <x v="7"/>
  </r>
  <r>
    <d v="2024-08-29T00:00:00"/>
    <s v="Neha Sharma"/>
    <x v="2"/>
    <x v="0"/>
    <x v="2"/>
    <n v="22"/>
    <n v="8267"/>
    <n v="181874"/>
    <x v="8"/>
  </r>
  <r>
    <d v="2024-12-28T00:00:00"/>
    <s v="Vikas Mehta"/>
    <x v="6"/>
    <x v="0"/>
    <x v="7"/>
    <n v="23"/>
    <n v="15668"/>
    <n v="360364"/>
    <x v="9"/>
  </r>
  <r>
    <d v="2024-04-02T00:00:00"/>
    <s v="Anil Reddy"/>
    <x v="12"/>
    <x v="0"/>
    <x v="5"/>
    <n v="5"/>
    <n v="15432"/>
    <n v="77160"/>
    <x v="11"/>
  </r>
  <r>
    <d v="2025-01-28T00:00:00"/>
    <s v="Sneha Sharma"/>
    <x v="0"/>
    <x v="0"/>
    <x v="5"/>
    <n v="1"/>
    <n v="24473"/>
    <n v="24473"/>
    <x v="7"/>
  </r>
  <r>
    <d v="2024-12-17T00:00:00"/>
    <s v="Vikas Mehta"/>
    <x v="12"/>
    <x v="0"/>
    <x v="2"/>
    <n v="4"/>
    <n v="9359"/>
    <n v="37436"/>
    <x v="9"/>
  </r>
  <r>
    <d v="2024-06-30T00:00:00"/>
    <s v="Ravi Mehta"/>
    <x v="0"/>
    <x v="0"/>
    <x v="6"/>
    <n v="22"/>
    <n v="24886"/>
    <n v="547492"/>
    <x v="6"/>
  </r>
  <r>
    <d v="2024-12-25T00:00:00"/>
    <s v="Neha Verma"/>
    <x v="0"/>
    <x v="0"/>
    <x v="0"/>
    <n v="12"/>
    <n v="6679"/>
    <n v="80148"/>
    <x v="9"/>
  </r>
  <r>
    <d v="2024-06-22T00:00:00"/>
    <s v="Rahul Thakur"/>
    <x v="2"/>
    <x v="0"/>
    <x v="2"/>
    <n v="4"/>
    <n v="3265"/>
    <n v="13060"/>
    <x v="6"/>
  </r>
  <r>
    <d v="2025-03-28T00:00:00"/>
    <s v="Ravi Joshi"/>
    <x v="6"/>
    <x v="0"/>
    <x v="2"/>
    <n v="5"/>
    <n v="17259"/>
    <n v="86295"/>
    <x v="0"/>
  </r>
  <r>
    <d v="2024-04-01T00:00:00"/>
    <s v="Neha Yadav"/>
    <x v="13"/>
    <x v="0"/>
    <x v="7"/>
    <n v="15"/>
    <n v="15276"/>
    <n v="229140"/>
    <x v="11"/>
  </r>
  <r>
    <d v="2024-08-09T00:00:00"/>
    <s v="Amit Joshi"/>
    <x v="13"/>
    <x v="0"/>
    <x v="3"/>
    <n v="22"/>
    <n v="18710"/>
    <n v="411620"/>
    <x v="8"/>
  </r>
  <r>
    <d v="2024-07-18T00:00:00"/>
    <s v="Pooja Yadav"/>
    <x v="13"/>
    <x v="0"/>
    <x v="3"/>
    <n v="25"/>
    <n v="14613"/>
    <n v="365325"/>
    <x v="10"/>
  </r>
  <r>
    <d v="2024-09-18T00:00:00"/>
    <s v="Priya Singh"/>
    <x v="12"/>
    <x v="0"/>
    <x v="7"/>
    <n v="14"/>
    <n v="23530"/>
    <n v="329420"/>
    <x v="4"/>
  </r>
  <r>
    <d v="2024-07-18T00:00:00"/>
    <s v="Pooja Verma"/>
    <x v="13"/>
    <x v="0"/>
    <x v="3"/>
    <n v="18"/>
    <n v="1132"/>
    <n v="20376"/>
    <x v="10"/>
  </r>
  <r>
    <d v="2024-05-06T00:00:00"/>
    <s v="Anil Singh"/>
    <x v="10"/>
    <x v="1"/>
    <x v="5"/>
    <n v="18"/>
    <n v="23853"/>
    <n v="429354"/>
    <x v="2"/>
  </r>
  <r>
    <d v="2024-05-06T00:00:00"/>
    <s v="Pooja Sharma"/>
    <x v="2"/>
    <x v="0"/>
    <x v="3"/>
    <n v="17"/>
    <n v="10934"/>
    <n v="185878"/>
    <x v="2"/>
  </r>
  <r>
    <d v="2024-11-24T00:00:00"/>
    <s v="Amit Joshi"/>
    <x v="13"/>
    <x v="0"/>
    <x v="7"/>
    <n v="6"/>
    <n v="16776"/>
    <n v="100656"/>
    <x v="1"/>
  </r>
  <r>
    <d v="2024-04-22T00:00:00"/>
    <s v="Amit Mehta"/>
    <x v="13"/>
    <x v="0"/>
    <x v="0"/>
    <n v="22"/>
    <n v="8976"/>
    <n v="197472"/>
    <x v="11"/>
  </r>
  <r>
    <d v="2024-12-24T00:00:00"/>
    <s v="Vikas Joshi"/>
    <x v="2"/>
    <x v="0"/>
    <x v="5"/>
    <n v="14"/>
    <n v="24754"/>
    <n v="346556"/>
    <x v="9"/>
  </r>
  <r>
    <d v="2025-03-24T00:00:00"/>
    <s v="Amit Reddy"/>
    <x v="0"/>
    <x v="0"/>
    <x v="0"/>
    <n v="23"/>
    <n v="5989"/>
    <n v="137747"/>
    <x v="0"/>
  </r>
  <r>
    <d v="2024-12-17T00:00:00"/>
    <s v="Anil Yadav"/>
    <x v="9"/>
    <x v="1"/>
    <x v="7"/>
    <n v="17"/>
    <n v="9554"/>
    <n v="162418"/>
    <x v="9"/>
  </r>
  <r>
    <d v="2024-08-09T00:00:00"/>
    <s v="Amit Thakur"/>
    <x v="7"/>
    <x v="1"/>
    <x v="0"/>
    <n v="12"/>
    <n v="14932"/>
    <n v="179184"/>
    <x v="8"/>
  </r>
  <r>
    <d v="2024-11-01T00:00:00"/>
    <s v="Neha Verma"/>
    <x v="11"/>
    <x v="1"/>
    <x v="6"/>
    <n v="16"/>
    <n v="1751"/>
    <n v="28016"/>
    <x v="1"/>
  </r>
  <r>
    <d v="2024-06-25T00:00:00"/>
    <s v="Sneha Patel"/>
    <x v="6"/>
    <x v="0"/>
    <x v="6"/>
    <n v="2"/>
    <n v="6194"/>
    <n v="12388"/>
    <x v="6"/>
  </r>
  <r>
    <d v="2024-09-14T00:00:00"/>
    <s v="Pooja Mehta"/>
    <x v="3"/>
    <x v="1"/>
    <x v="6"/>
    <n v="5"/>
    <n v="8801"/>
    <n v="44005"/>
    <x v="4"/>
  </r>
  <r>
    <d v="2025-03-08T00:00:00"/>
    <s v="Rahul Verma"/>
    <x v="13"/>
    <x v="0"/>
    <x v="1"/>
    <n v="7"/>
    <n v="14577"/>
    <n v="102039"/>
    <x v="0"/>
  </r>
  <r>
    <d v="2025-02-19T00:00:00"/>
    <s v="Neha Verma"/>
    <x v="0"/>
    <x v="0"/>
    <x v="0"/>
    <n v="7"/>
    <n v="5628"/>
    <n v="39396"/>
    <x v="3"/>
  </r>
  <r>
    <d v="2025-02-26T00:00:00"/>
    <s v="Anil Thakur"/>
    <x v="11"/>
    <x v="1"/>
    <x v="3"/>
    <n v="14"/>
    <n v="16610"/>
    <n v="232540"/>
    <x v="3"/>
  </r>
  <r>
    <d v="2024-10-24T00:00:00"/>
    <s v="Meena Reddy"/>
    <x v="1"/>
    <x v="1"/>
    <x v="2"/>
    <n v="20"/>
    <n v="3486"/>
    <n v="69720"/>
    <x v="5"/>
  </r>
  <r>
    <d v="2025-03-11T00:00:00"/>
    <s v="Rahul Mehta"/>
    <x v="5"/>
    <x v="1"/>
    <x v="4"/>
    <n v="8"/>
    <n v="7078"/>
    <n v="56624"/>
    <x v="0"/>
  </r>
  <r>
    <d v="2024-11-17T00:00:00"/>
    <s v="Amit Patel"/>
    <x v="13"/>
    <x v="0"/>
    <x v="3"/>
    <n v="23"/>
    <n v="10064"/>
    <n v="231472"/>
    <x v="1"/>
  </r>
  <r>
    <d v="2024-06-13T00:00:00"/>
    <s v="Ravi Sharma"/>
    <x v="12"/>
    <x v="0"/>
    <x v="5"/>
    <n v="9"/>
    <n v="11893"/>
    <n v="107037"/>
    <x v="6"/>
  </r>
  <r>
    <d v="2025-03-13T00:00:00"/>
    <s v="Amit Kumar"/>
    <x v="7"/>
    <x v="1"/>
    <x v="4"/>
    <n v="7"/>
    <n v="8423"/>
    <n v="58961"/>
    <x v="0"/>
  </r>
  <r>
    <d v="2024-07-12T00:00:00"/>
    <s v="Anil Patel"/>
    <x v="13"/>
    <x v="0"/>
    <x v="0"/>
    <n v="1"/>
    <n v="22427"/>
    <n v="22427"/>
    <x v="10"/>
  </r>
  <r>
    <d v="2024-05-06T00:00:00"/>
    <s v="Sneha Thakur"/>
    <x v="8"/>
    <x v="1"/>
    <x v="1"/>
    <n v="9"/>
    <n v="18090"/>
    <n v="162810"/>
    <x v="2"/>
  </r>
  <r>
    <d v="2024-12-15T00:00:00"/>
    <s v="Vikas Yadav"/>
    <x v="1"/>
    <x v="1"/>
    <x v="0"/>
    <n v="15"/>
    <n v="20109"/>
    <n v="301635"/>
    <x v="9"/>
  </r>
  <r>
    <d v="2025-02-27T00:00:00"/>
    <s v="Vikas Joshi"/>
    <x v="6"/>
    <x v="0"/>
    <x v="4"/>
    <n v="8"/>
    <n v="8162"/>
    <n v="65296"/>
    <x v="3"/>
  </r>
  <r>
    <d v="2024-09-03T00:00:00"/>
    <s v="Priya Thakur"/>
    <x v="1"/>
    <x v="1"/>
    <x v="6"/>
    <n v="20"/>
    <n v="20333"/>
    <n v="406660"/>
    <x v="4"/>
  </r>
  <r>
    <d v="2024-09-02T00:00:00"/>
    <s v="Anil Kumar"/>
    <x v="8"/>
    <x v="1"/>
    <x v="2"/>
    <n v="18"/>
    <n v="10372"/>
    <n v="186696"/>
    <x v="4"/>
  </r>
  <r>
    <d v="2024-12-10T00:00:00"/>
    <s v="Rahul Thakur"/>
    <x v="12"/>
    <x v="0"/>
    <x v="2"/>
    <n v="15"/>
    <n v="3685"/>
    <n v="55275"/>
    <x v="9"/>
  </r>
  <r>
    <d v="2024-12-07T00:00:00"/>
    <s v="Pooja Joshi"/>
    <x v="7"/>
    <x v="1"/>
    <x v="1"/>
    <n v="14"/>
    <n v="6571"/>
    <n v="91994"/>
    <x v="9"/>
  </r>
  <r>
    <d v="2025-03-23T00:00:00"/>
    <s v="Sneha Kumar"/>
    <x v="7"/>
    <x v="1"/>
    <x v="7"/>
    <n v="10"/>
    <n v="13579"/>
    <n v="135790"/>
    <x v="0"/>
  </r>
  <r>
    <d v="2024-09-07T00:00:00"/>
    <s v="Priya Patel"/>
    <x v="7"/>
    <x v="1"/>
    <x v="4"/>
    <n v="15"/>
    <n v="4649"/>
    <n v="69735"/>
    <x v="4"/>
  </r>
  <r>
    <d v="2025-03-20T00:00:00"/>
    <s v="Anil Patel"/>
    <x v="6"/>
    <x v="0"/>
    <x v="6"/>
    <n v="16"/>
    <n v="4294"/>
    <n v="68704"/>
    <x v="0"/>
  </r>
  <r>
    <d v="2024-08-01T00:00:00"/>
    <s v="Meena Sharma"/>
    <x v="1"/>
    <x v="1"/>
    <x v="4"/>
    <n v="24"/>
    <n v="16724"/>
    <n v="401376"/>
    <x v="8"/>
  </r>
  <r>
    <d v="2024-09-19T00:00:00"/>
    <s v="Priya Singh"/>
    <x v="2"/>
    <x v="0"/>
    <x v="1"/>
    <n v="8"/>
    <n v="13351"/>
    <n v="106808"/>
    <x v="4"/>
  </r>
  <r>
    <d v="2024-06-20T00:00:00"/>
    <s v="Vikas Sharma"/>
    <x v="8"/>
    <x v="1"/>
    <x v="1"/>
    <n v="1"/>
    <n v="14186"/>
    <n v="14186"/>
    <x v="6"/>
  </r>
  <r>
    <d v="2024-06-10T00:00:00"/>
    <s v="Amit Sharma"/>
    <x v="0"/>
    <x v="0"/>
    <x v="1"/>
    <n v="21"/>
    <n v="6042"/>
    <n v="126882"/>
    <x v="6"/>
  </r>
  <r>
    <d v="2024-12-21T00:00:00"/>
    <s v="Neha Yadav"/>
    <x v="9"/>
    <x v="1"/>
    <x v="5"/>
    <n v="18"/>
    <n v="8674"/>
    <n v="156132"/>
    <x v="9"/>
  </r>
  <r>
    <d v="2024-10-23T00:00:00"/>
    <s v="Meena Kumar"/>
    <x v="0"/>
    <x v="0"/>
    <x v="1"/>
    <n v="5"/>
    <n v="19243"/>
    <n v="9621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10"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5:A16" firstHeaderRow="1" firstDataRow="1" firstDataCol="0"/>
  <pivotFields count="9">
    <pivotField numFmtId="165" showAll="0"/>
    <pivotField showAll="0"/>
    <pivotField showAll="0">
      <items count="15">
        <item x="2"/>
        <item x="1"/>
        <item x="10"/>
        <item x="7"/>
        <item x="6"/>
        <item x="9"/>
        <item x="12"/>
        <item x="4"/>
        <item x="13"/>
        <item x="8"/>
        <item x="0"/>
        <item x="11"/>
        <item x="3"/>
        <item x="5"/>
        <item t="default"/>
      </items>
    </pivotField>
    <pivotField showAll="0">
      <items count="3">
        <item x="1"/>
        <item x="0"/>
        <item t="default"/>
      </items>
    </pivotField>
    <pivotField showAll="0">
      <items count="9">
        <item x="2"/>
        <item x="0"/>
        <item x="7"/>
        <item x="1"/>
        <item x="4"/>
        <item x="5"/>
        <item x="3"/>
        <item x="6"/>
        <item t="default"/>
      </items>
    </pivotField>
    <pivotField showAll="0"/>
    <pivotField showAll="0"/>
    <pivotField dataField="1" showAll="0"/>
    <pivotField showAll="0">
      <items count="13">
        <item x="7"/>
        <item x="3"/>
        <item x="0"/>
        <item x="11"/>
        <item x="2"/>
        <item x="6"/>
        <item x="10"/>
        <item x="8"/>
        <item x="4"/>
        <item x="5"/>
        <item x="1"/>
        <item x="9"/>
        <item t="default"/>
      </items>
    </pivotField>
  </pivotFields>
  <rowItems count="1">
    <i/>
  </rowItems>
  <colItems count="1">
    <i/>
  </colItems>
  <dataFields count="1">
    <dataField name="Min of Total Sales (₹)" fld="7" subtotal="min" baseField="0" baseItem="0" numFmtId="44"/>
  </dataFields>
  <formats count="1">
    <format dxfId="37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8"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2:A13" firstHeaderRow="1" firstDataRow="1" firstDataCol="0"/>
  <pivotFields count="9">
    <pivotField numFmtId="165" showAll="0"/>
    <pivotField showAll="0"/>
    <pivotField showAll="0">
      <items count="15">
        <item x="2"/>
        <item x="1"/>
        <item x="10"/>
        <item x="7"/>
        <item x="6"/>
        <item x="9"/>
        <item x="12"/>
        <item x="4"/>
        <item x="13"/>
        <item x="8"/>
        <item x="0"/>
        <item x="11"/>
        <item x="3"/>
        <item x="5"/>
        <item t="default"/>
      </items>
    </pivotField>
    <pivotField showAll="0">
      <items count="3">
        <item x="1"/>
        <item x="0"/>
        <item t="default"/>
      </items>
    </pivotField>
    <pivotField showAll="0">
      <items count="9">
        <item x="2"/>
        <item x="0"/>
        <item x="7"/>
        <item x="1"/>
        <item x="4"/>
        <item x="5"/>
        <item x="3"/>
        <item x="6"/>
        <item t="default"/>
      </items>
    </pivotField>
    <pivotField showAll="0"/>
    <pivotField showAll="0"/>
    <pivotField dataField="1" showAll="0"/>
    <pivotField showAll="0">
      <items count="13">
        <item x="7"/>
        <item x="3"/>
        <item x="0"/>
        <item x="11"/>
        <item x="2"/>
        <item x="6"/>
        <item x="10"/>
        <item x="8"/>
        <item x="4"/>
        <item x="5"/>
        <item x="1"/>
        <item x="9"/>
        <item t="default"/>
      </items>
    </pivotField>
  </pivotFields>
  <rowItems count="1">
    <i/>
  </rowItems>
  <colItems count="1">
    <i/>
  </colItems>
  <dataFields count="1">
    <dataField name="Max of Total Sales (₹)" fld="7" subtotal="max" baseField="0" baseItem="0" numFmtId="44"/>
  </dataFields>
  <formats count="1">
    <format dxfId="377">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1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21:B36" firstHeaderRow="1" firstDataRow="1" firstDataCol="1"/>
  <pivotFields count="9">
    <pivotField numFmtId="165" showAll="0"/>
    <pivotField showAll="0"/>
    <pivotField axis="axisRow" showAll="0">
      <items count="15">
        <item x="2"/>
        <item x="1"/>
        <item x="10"/>
        <item x="7"/>
        <item x="6"/>
        <item x="9"/>
        <item x="12"/>
        <item x="4"/>
        <item x="13"/>
        <item x="8"/>
        <item x="0"/>
        <item x="11"/>
        <item x="3"/>
        <item x="5"/>
        <item t="default"/>
      </items>
    </pivotField>
    <pivotField showAll="0">
      <items count="3">
        <item x="1"/>
        <item x="0"/>
        <item t="default"/>
      </items>
    </pivotField>
    <pivotField showAll="0">
      <items count="9">
        <item x="2"/>
        <item x="0"/>
        <item x="7"/>
        <item x="1"/>
        <item x="4"/>
        <item x="5"/>
        <item x="3"/>
        <item x="6"/>
        <item t="default"/>
      </items>
    </pivotField>
    <pivotField showAll="0"/>
    <pivotField showAll="0"/>
    <pivotField dataField="1" showAll="0"/>
    <pivotField showAll="0">
      <items count="13">
        <item x="7"/>
        <item x="3"/>
        <item x="0"/>
        <item x="11"/>
        <item x="2"/>
        <item x="6"/>
        <item x="10"/>
        <item x="8"/>
        <item x="4"/>
        <item x="5"/>
        <item x="1"/>
        <item x="9"/>
        <item t="default"/>
      </items>
    </pivotField>
  </pivotFields>
  <rowFields count="1">
    <field x="2"/>
  </rowFields>
  <rowItems count="15">
    <i>
      <x/>
    </i>
    <i>
      <x v="1"/>
    </i>
    <i>
      <x v="2"/>
    </i>
    <i>
      <x v="3"/>
    </i>
    <i>
      <x v="4"/>
    </i>
    <i>
      <x v="5"/>
    </i>
    <i>
      <x v="6"/>
    </i>
    <i>
      <x v="7"/>
    </i>
    <i>
      <x v="8"/>
    </i>
    <i>
      <x v="9"/>
    </i>
    <i>
      <x v="10"/>
    </i>
    <i>
      <x v="11"/>
    </i>
    <i>
      <x v="12"/>
    </i>
    <i>
      <x v="13"/>
    </i>
    <i t="grand">
      <x/>
    </i>
  </rowItems>
  <colItems count="1">
    <i/>
  </colItems>
  <dataFields count="1">
    <dataField name="Sum of Total Sales (₹)" fld="7" baseField="0" baseItem="0" numFmtId="44"/>
  </dataFields>
  <formats count="6">
    <format dxfId="383">
      <pivotArea type="all" dataOnly="0" outline="0" fieldPosition="0"/>
    </format>
    <format dxfId="382">
      <pivotArea outline="0" collapsedLevelsAreSubtotals="1" fieldPosition="0"/>
    </format>
    <format dxfId="381">
      <pivotArea field="2" type="button" dataOnly="0" labelOnly="1" outline="0" axis="axisRow" fieldPosition="0"/>
    </format>
    <format dxfId="380">
      <pivotArea dataOnly="0" labelOnly="1" fieldPosition="0">
        <references count="1">
          <reference field="2" count="0"/>
        </references>
      </pivotArea>
    </format>
    <format dxfId="379">
      <pivotArea dataOnly="0" labelOnly="1" grandRow="1" outline="0" fieldPosition="0"/>
    </format>
    <format dxfId="3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18:A19" firstHeaderRow="1" firstDataRow="1" firstDataCol="0"/>
  <pivotFields count="9">
    <pivotField numFmtId="165" showAll="0"/>
    <pivotField dataField="1" showAll="0"/>
    <pivotField showAll="0">
      <items count="15">
        <item x="2"/>
        <item x="1"/>
        <item x="10"/>
        <item x="7"/>
        <item x="6"/>
        <item x="9"/>
        <item x="12"/>
        <item x="4"/>
        <item x="13"/>
        <item x="8"/>
        <item x="0"/>
        <item x="11"/>
        <item x="3"/>
        <item x="5"/>
        <item t="default"/>
      </items>
    </pivotField>
    <pivotField showAll="0">
      <items count="3">
        <item x="1"/>
        <item x="0"/>
        <item t="default"/>
      </items>
    </pivotField>
    <pivotField showAll="0">
      <items count="9">
        <item x="2"/>
        <item x="0"/>
        <item x="7"/>
        <item x="1"/>
        <item x="4"/>
        <item x="5"/>
        <item x="3"/>
        <item x="6"/>
        <item t="default"/>
      </items>
    </pivotField>
    <pivotField showAll="0"/>
    <pivotField showAll="0"/>
    <pivotField showAll="0"/>
    <pivotField showAll="0">
      <items count="13">
        <item x="7"/>
        <item x="3"/>
        <item x="0"/>
        <item x="11"/>
        <item x="2"/>
        <item x="6"/>
        <item x="10"/>
        <item x="8"/>
        <item x="4"/>
        <item x="5"/>
        <item x="1"/>
        <item x="9"/>
        <item t="default"/>
      </items>
    </pivotField>
  </pivotFields>
  <rowItems count="1">
    <i/>
  </rowItems>
  <colItems count="1">
    <i/>
  </colItems>
  <dataFields count="1">
    <dataField name="Count of Name"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5"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A4" firstHeaderRow="1" firstDataRow="1" firstDataCol="0"/>
  <pivotFields count="9">
    <pivotField numFmtId="165" showAll="0"/>
    <pivotField showAll="0"/>
    <pivotField showAll="0">
      <items count="15">
        <item x="2"/>
        <item x="1"/>
        <item x="10"/>
        <item x="7"/>
        <item x="6"/>
        <item x="9"/>
        <item x="12"/>
        <item x="4"/>
        <item x="13"/>
        <item x="8"/>
        <item x="0"/>
        <item x="11"/>
        <item x="3"/>
        <item x="5"/>
        <item t="default"/>
      </items>
    </pivotField>
    <pivotField showAll="0">
      <items count="3">
        <item x="1"/>
        <item x="0"/>
        <item t="default"/>
      </items>
    </pivotField>
    <pivotField showAll="0">
      <items count="9">
        <item x="2"/>
        <item x="0"/>
        <item x="7"/>
        <item x="1"/>
        <item x="4"/>
        <item x="5"/>
        <item x="3"/>
        <item x="6"/>
        <item t="default"/>
      </items>
    </pivotField>
    <pivotField showAll="0"/>
    <pivotField showAll="0"/>
    <pivotField dataField="1" showAll="0"/>
    <pivotField showAll="0">
      <items count="13">
        <item x="7"/>
        <item x="3"/>
        <item x="0"/>
        <item x="11"/>
        <item x="2"/>
        <item x="6"/>
        <item x="10"/>
        <item x="8"/>
        <item x="4"/>
        <item x="5"/>
        <item x="1"/>
        <item x="9"/>
        <item t="default"/>
      </items>
    </pivotField>
  </pivotFields>
  <rowItems count="1">
    <i/>
  </rowItems>
  <colItems count="1">
    <i/>
  </colItems>
  <dataFields count="1">
    <dataField name="Sum of Total Sales (₹)" fld="7" baseField="0" baseItem="0" numFmtId="44"/>
  </dataFields>
  <formats count="1">
    <format dxfId="38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6000000}" name="PivotTable7"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9:A10" firstHeaderRow="1" firstDataRow="1" firstDataCol="0"/>
  <pivotFields count="9">
    <pivotField numFmtId="165" showAll="0"/>
    <pivotField showAll="0"/>
    <pivotField showAll="0">
      <items count="15">
        <item x="2"/>
        <item x="1"/>
        <item x="10"/>
        <item x="7"/>
        <item x="6"/>
        <item x="9"/>
        <item x="12"/>
        <item x="4"/>
        <item x="13"/>
        <item x="8"/>
        <item x="0"/>
        <item x="11"/>
        <item x="3"/>
        <item x="5"/>
        <item t="default"/>
      </items>
    </pivotField>
    <pivotField showAll="0">
      <items count="3">
        <item x="1"/>
        <item x="0"/>
        <item t="default"/>
      </items>
    </pivotField>
    <pivotField showAll="0">
      <items count="9">
        <item x="2"/>
        <item x="0"/>
        <item x="7"/>
        <item x="1"/>
        <item x="4"/>
        <item x="5"/>
        <item x="3"/>
        <item x="6"/>
        <item t="default"/>
      </items>
    </pivotField>
    <pivotField showAll="0"/>
    <pivotField showAll="0"/>
    <pivotField dataField="1" showAll="0"/>
    <pivotField showAll="0">
      <items count="13">
        <item x="7"/>
        <item x="3"/>
        <item x="0"/>
        <item x="11"/>
        <item x="2"/>
        <item x="6"/>
        <item x="10"/>
        <item x="8"/>
        <item x="4"/>
        <item x="5"/>
        <item x="1"/>
        <item x="9"/>
        <item t="default"/>
      </items>
    </pivotField>
  </pivotFields>
  <rowItems count="1">
    <i/>
  </rowItems>
  <colItems count="1">
    <i/>
  </colItems>
  <dataFields count="1">
    <dataField name="Average of Total Sales (₹)" fld="7" subtotal="average" baseField="0" baseItem="0" numFmtId="44"/>
  </dataFields>
  <formats count="1">
    <format dxfId="385">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300-000005000000}" name="PivotTable6"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6:A7" firstHeaderRow="1" firstDataRow="1" firstDataCol="0"/>
  <pivotFields count="9">
    <pivotField numFmtId="165" showAll="0"/>
    <pivotField showAll="0"/>
    <pivotField showAll="0">
      <items count="15">
        <item x="2"/>
        <item x="1"/>
        <item x="10"/>
        <item x="7"/>
        <item x="6"/>
        <item x="9"/>
        <item x="12"/>
        <item x="4"/>
        <item x="13"/>
        <item x="8"/>
        <item x="0"/>
        <item x="11"/>
        <item x="3"/>
        <item x="5"/>
        <item t="default"/>
      </items>
    </pivotField>
    <pivotField showAll="0">
      <items count="3">
        <item x="1"/>
        <item x="0"/>
        <item t="default"/>
      </items>
    </pivotField>
    <pivotField showAll="0">
      <items count="9">
        <item x="2"/>
        <item x="0"/>
        <item x="7"/>
        <item x="1"/>
        <item x="4"/>
        <item x="5"/>
        <item x="3"/>
        <item x="6"/>
        <item t="default"/>
      </items>
    </pivotField>
    <pivotField dataField="1" showAll="0"/>
    <pivotField showAll="0"/>
    <pivotField showAll="0"/>
    <pivotField showAll="0">
      <items count="13">
        <item x="7"/>
        <item x="3"/>
        <item x="0"/>
        <item x="11"/>
        <item x="2"/>
        <item x="6"/>
        <item x="10"/>
        <item x="8"/>
        <item x="4"/>
        <item x="5"/>
        <item x="1"/>
        <item x="9"/>
        <item t="default"/>
      </items>
    </pivotField>
  </pivotFields>
  <rowItems count="1">
    <i/>
  </rowItems>
  <colItems count="1">
    <i/>
  </colItems>
  <dataFields count="1">
    <dataField name="Sum of Units Sold"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400-00000A000000}" name="PivotTable4"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7">
  <location ref="I8:J23" firstHeaderRow="1" firstDataRow="1" firstDataCol="1"/>
  <pivotFields count="9">
    <pivotField numFmtId="165" showAll="0"/>
    <pivotField showAll="0"/>
    <pivotField axis="axisRow" showAll="0" sortType="descending">
      <items count="15">
        <item x="2"/>
        <item x="1"/>
        <item x="10"/>
        <item x="7"/>
        <item x="6"/>
        <item x="9"/>
        <item x="12"/>
        <item x="4"/>
        <item x="13"/>
        <item x="8"/>
        <item x="0"/>
        <item x="11"/>
        <item x="3"/>
        <item x="5"/>
        <item t="default"/>
      </items>
      <autoSortScope>
        <pivotArea dataOnly="0" outline="0" fieldPosition="0">
          <references count="1">
            <reference field="4294967294" count="1" selected="0">
              <x v="0"/>
            </reference>
          </references>
        </pivotArea>
      </autoSortScope>
    </pivotField>
    <pivotField showAll="0">
      <items count="3">
        <item x="1"/>
        <item x="0"/>
        <item t="default"/>
      </items>
    </pivotField>
    <pivotField showAll="0">
      <items count="9">
        <item x="2"/>
        <item x="0"/>
        <item x="7"/>
        <item x="1"/>
        <item x="4"/>
        <item x="5"/>
        <item x="3"/>
        <item x="6"/>
        <item t="default"/>
      </items>
    </pivotField>
    <pivotField showAll="0"/>
    <pivotField showAll="0"/>
    <pivotField dataField="1" showAll="0"/>
    <pivotField showAll="0">
      <items count="13">
        <item x="7"/>
        <item x="3"/>
        <item x="0"/>
        <item x="11"/>
        <item x="2"/>
        <item x="6"/>
        <item x="10"/>
        <item x="8"/>
        <item x="4"/>
        <item x="5"/>
        <item x="1"/>
        <item x="9"/>
        <item t="default"/>
      </items>
    </pivotField>
  </pivotFields>
  <rowFields count="1">
    <field x="2"/>
  </rowFields>
  <rowItems count="15">
    <i>
      <x v="10"/>
    </i>
    <i>
      <x v="1"/>
    </i>
    <i>
      <x v="8"/>
    </i>
    <i>
      <x v="4"/>
    </i>
    <i>
      <x v="11"/>
    </i>
    <i>
      <x/>
    </i>
    <i>
      <x v="6"/>
    </i>
    <i>
      <x v="2"/>
    </i>
    <i>
      <x v="3"/>
    </i>
    <i>
      <x v="5"/>
    </i>
    <i>
      <x v="7"/>
    </i>
    <i>
      <x v="9"/>
    </i>
    <i>
      <x v="12"/>
    </i>
    <i>
      <x v="13"/>
    </i>
    <i t="grand">
      <x/>
    </i>
  </rowItems>
  <colItems count="1">
    <i/>
  </colItems>
  <dataFields count="1">
    <dataField name="Sum of Total Sales (₹)" fld="7" baseField="0" baseItem="0"/>
  </dataFields>
  <chartFormats count="2">
    <chartFormat chart="4"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400-000009000000}" name="PivotTable3"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9">
  <location ref="L1:M10" firstHeaderRow="1" firstDataRow="1" firstDataCol="1"/>
  <pivotFields count="9">
    <pivotField numFmtId="165" showAll="0"/>
    <pivotField showAll="0"/>
    <pivotField showAll="0">
      <items count="15">
        <item x="2"/>
        <item x="1"/>
        <item x="10"/>
        <item x="7"/>
        <item x="6"/>
        <item x="9"/>
        <item x="12"/>
        <item x="4"/>
        <item x="13"/>
        <item x="8"/>
        <item x="0"/>
        <item x="11"/>
        <item x="3"/>
        <item x="5"/>
        <item t="default"/>
      </items>
    </pivotField>
    <pivotField showAll="0">
      <items count="3">
        <item x="1"/>
        <item x="0"/>
        <item t="default"/>
      </items>
    </pivotField>
    <pivotField axis="axisRow" showAll="0">
      <items count="9">
        <item x="2"/>
        <item x="0"/>
        <item x="7"/>
        <item x="1"/>
        <item x="4"/>
        <item x="5"/>
        <item x="3"/>
        <item x="6"/>
        <item t="default"/>
      </items>
    </pivotField>
    <pivotField dataField="1" showAll="0"/>
    <pivotField showAll="0"/>
    <pivotField showAll="0"/>
    <pivotField showAll="0">
      <items count="13">
        <item x="7"/>
        <item x="3"/>
        <item x="0"/>
        <item x="11"/>
        <item x="2"/>
        <item x="6"/>
        <item x="10"/>
        <item x="8"/>
        <item x="4"/>
        <item x="5"/>
        <item x="1"/>
        <item x="9"/>
        <item t="default"/>
      </items>
    </pivotField>
  </pivotFields>
  <rowFields count="1">
    <field x="4"/>
  </rowFields>
  <rowItems count="9">
    <i>
      <x/>
    </i>
    <i>
      <x v="1"/>
    </i>
    <i>
      <x v="2"/>
    </i>
    <i>
      <x v="3"/>
    </i>
    <i>
      <x v="4"/>
    </i>
    <i>
      <x v="5"/>
    </i>
    <i>
      <x v="6"/>
    </i>
    <i>
      <x v="7"/>
    </i>
    <i t="grand">
      <x/>
    </i>
  </rowItems>
  <colItems count="1">
    <i/>
  </colItems>
  <dataFields count="1">
    <dataField name="Sum of Units Sold" fld="5" baseField="0" baseItem="0"/>
  </dataFields>
  <chartFormats count="2">
    <chartFormat chart="4"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400-000008000000}" name="PivotTable2"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I1:J4" firstHeaderRow="1" firstDataRow="1" firstDataCol="1"/>
  <pivotFields count="9">
    <pivotField numFmtId="165" showAll="0"/>
    <pivotField showAll="0"/>
    <pivotField showAll="0">
      <items count="15">
        <item x="2"/>
        <item x="1"/>
        <item x="10"/>
        <item x="7"/>
        <item x="6"/>
        <item x="9"/>
        <item x="12"/>
        <item x="4"/>
        <item x="13"/>
        <item x="8"/>
        <item x="0"/>
        <item x="11"/>
        <item x="3"/>
        <item x="5"/>
        <item t="default"/>
      </items>
    </pivotField>
    <pivotField axis="axisRow" showAll="0">
      <items count="3">
        <item x="1"/>
        <item x="0"/>
        <item t="default"/>
      </items>
    </pivotField>
    <pivotField showAll="0">
      <items count="9">
        <item x="2"/>
        <item x="0"/>
        <item x="7"/>
        <item x="1"/>
        <item x="4"/>
        <item x="5"/>
        <item x="3"/>
        <item x="6"/>
        <item t="default"/>
      </items>
    </pivotField>
    <pivotField showAll="0"/>
    <pivotField showAll="0"/>
    <pivotField dataField="1" showAll="0"/>
    <pivotField showAll="0">
      <items count="13">
        <item x="7"/>
        <item x="3"/>
        <item x="0"/>
        <item x="11"/>
        <item x="2"/>
        <item x="6"/>
        <item x="10"/>
        <item x="8"/>
        <item x="4"/>
        <item x="5"/>
        <item x="1"/>
        <item x="9"/>
        <item t="default"/>
      </items>
    </pivotField>
  </pivotFields>
  <rowFields count="1">
    <field x="3"/>
  </rowFields>
  <rowItems count="3">
    <i>
      <x/>
    </i>
    <i>
      <x v="1"/>
    </i>
    <i t="grand">
      <x/>
    </i>
  </rowItems>
  <colItems count="1">
    <i/>
  </colItems>
  <dataFields count="1">
    <dataField name="Sum of Total Sales (₹)" fld="7" baseField="0" baseItem="0"/>
  </dataFields>
  <chartFormats count="4">
    <chartFormat chart="5" format="0"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0"/>
          </reference>
        </references>
      </pivotArea>
    </chartFormat>
    <chartFormat chart="7" format="6">
      <pivotArea type="data" outline="0" fieldPosition="0">
        <references count="2">
          <reference field="4294967294" count="1" selected="0">
            <x v="0"/>
          </reference>
          <reference field="3" count="1" selected="0">
            <x v="0"/>
          </reference>
        </references>
      </pivotArea>
    </chartFormat>
    <chartFormat chart="7" format="7">
      <pivotArea type="data" outline="0" fieldPosition="0">
        <references count="2">
          <reference field="4294967294" count="1" selected="0">
            <x v="0"/>
          </reference>
          <reference field="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400-000007000000}" name="PivotTable1" cacheId="0"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0">
  <location ref="A3:B16" firstHeaderRow="1" firstDataRow="1" firstDataCol="1"/>
  <pivotFields count="9">
    <pivotField numFmtId="165" showAll="0"/>
    <pivotField showAll="0"/>
    <pivotField showAll="0">
      <items count="15">
        <item x="2"/>
        <item x="1"/>
        <item x="10"/>
        <item x="7"/>
        <item x="6"/>
        <item x="9"/>
        <item x="12"/>
        <item x="4"/>
        <item x="13"/>
        <item x="8"/>
        <item x="0"/>
        <item x="11"/>
        <item x="3"/>
        <item x="5"/>
        <item t="default"/>
      </items>
    </pivotField>
    <pivotField showAll="0">
      <items count="3">
        <item x="1"/>
        <item x="0"/>
        <item t="default"/>
      </items>
    </pivotField>
    <pivotField showAll="0">
      <items count="9">
        <item x="2"/>
        <item x="0"/>
        <item x="7"/>
        <item x="1"/>
        <item x="4"/>
        <item x="5"/>
        <item x="3"/>
        <item x="6"/>
        <item t="default"/>
      </items>
    </pivotField>
    <pivotField showAll="0"/>
    <pivotField showAll="0"/>
    <pivotField dataField="1" showAll="0"/>
    <pivotField axis="axisRow" showAll="0">
      <items count="13">
        <item x="7"/>
        <item x="3"/>
        <item x="0"/>
        <item x="11"/>
        <item x="2"/>
        <item x="6"/>
        <item x="10"/>
        <item x="8"/>
        <item x="4"/>
        <item x="5"/>
        <item x="1"/>
        <item x="9"/>
        <item t="default"/>
      </items>
    </pivotField>
  </pivotFields>
  <rowFields count="1">
    <field x="8"/>
  </rowFields>
  <rowItems count="13">
    <i>
      <x/>
    </i>
    <i>
      <x v="1"/>
    </i>
    <i>
      <x v="2"/>
    </i>
    <i>
      <x v="3"/>
    </i>
    <i>
      <x v="4"/>
    </i>
    <i>
      <x v="5"/>
    </i>
    <i>
      <x v="6"/>
    </i>
    <i>
      <x v="7"/>
    </i>
    <i>
      <x v="8"/>
    </i>
    <i>
      <x v="9"/>
    </i>
    <i>
      <x v="10"/>
    </i>
    <i>
      <x v="11"/>
    </i>
    <i t="grand">
      <x/>
    </i>
  </rowItems>
  <colItems count="1">
    <i/>
  </colItems>
  <dataFields count="1">
    <dataField name="Sum of Total Sales (₹)" fld="7" baseField="0" baseItem="0" numFmtId="44"/>
  </dataFields>
  <formats count="6">
    <format dxfId="375">
      <pivotArea type="all" dataOnly="0" outline="0" fieldPosition="0"/>
    </format>
    <format dxfId="374">
      <pivotArea outline="0" collapsedLevelsAreSubtotals="1" fieldPosition="0"/>
    </format>
    <format dxfId="373">
      <pivotArea field="8" type="button" dataOnly="0" labelOnly="1" outline="0" axis="axisRow" fieldPosition="0"/>
    </format>
    <format dxfId="372">
      <pivotArea dataOnly="0" labelOnly="1" fieldPosition="0">
        <references count="1">
          <reference field="8" count="0"/>
        </references>
      </pivotArea>
    </format>
    <format dxfId="371">
      <pivotArea dataOnly="0" labelOnly="1" grandRow="1" outline="0" fieldPosition="0"/>
    </format>
    <format dxfId="370">
      <pivotArea dataOnly="0" labelOnly="1" outline="0" axis="axisValues" fieldPosition="0"/>
    </format>
  </formats>
  <chartFormats count="2">
    <chartFormat chart="9" format="7"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00000000-0013-0000-FFFF-FFFF01000000}" sourceName="Product">
  <pivotTables>
    <pivotTable tabId="17" name="PivotTable1"/>
    <pivotTable tabId="17" name="PivotTable2"/>
    <pivotTable tabId="17" name="PivotTable3"/>
    <pivotTable tabId="17" name="PivotTable4"/>
    <pivotTable tabId="19" name="PivotTable10"/>
    <pivotTable tabId="19" name="PivotTable11"/>
    <pivotTable tabId="19" name="PivotTable12"/>
    <pivotTable tabId="19" name="PivotTable5"/>
    <pivotTable tabId="19" name="PivotTable6"/>
    <pivotTable tabId="19" name="PivotTable7"/>
    <pivotTable tabId="19" name="PivotTable8"/>
  </pivotTables>
  <data>
    <tabular pivotCacheId="2">
      <items count="14">
        <i x="2" s="1"/>
        <i x="1" s="1"/>
        <i x="10" s="1"/>
        <i x="7" s="1"/>
        <i x="6" s="1"/>
        <i x="9" s="1"/>
        <i x="12" s="1"/>
        <i x="4" s="1"/>
        <i x="13" s="1"/>
        <i x="8" s="1"/>
        <i x="0" s="1"/>
        <i x="11" s="1"/>
        <i x="3" s="1"/>
        <i x="5"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00000000-0013-0000-FFFF-FFFF02000000}" sourceName="Category">
  <pivotTables>
    <pivotTable tabId="17" name="PivotTable1"/>
    <pivotTable tabId="17" name="PivotTable2"/>
    <pivotTable tabId="17" name="PivotTable3"/>
    <pivotTable tabId="17" name="PivotTable4"/>
    <pivotTable tabId="19" name="PivotTable10"/>
    <pivotTable tabId="19" name="PivotTable11"/>
    <pivotTable tabId="19" name="PivotTable12"/>
    <pivotTable tabId="19" name="PivotTable5"/>
    <pivotTable tabId="19" name="PivotTable6"/>
    <pivotTable tabId="19" name="PivotTable7"/>
    <pivotTable tabId="19" name="PivotTable8"/>
  </pivotTables>
  <data>
    <tabular pivotCacheId="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3000000}" sourceName="Region">
  <pivotTables>
    <pivotTable tabId="17" name="PivotTable1"/>
    <pivotTable tabId="17" name="PivotTable2"/>
    <pivotTable tabId="17" name="PivotTable3"/>
    <pivotTable tabId="17" name="PivotTable4"/>
    <pivotTable tabId="19" name="PivotTable10"/>
    <pivotTable tabId="19" name="PivotTable11"/>
    <pivotTable tabId="19" name="PivotTable12"/>
    <pivotTable tabId="19" name="PivotTable5"/>
    <pivotTable tabId="19" name="PivotTable6"/>
    <pivotTable tabId="19" name="PivotTable7"/>
    <pivotTable tabId="19" name="PivotTable8"/>
  </pivotTables>
  <data>
    <tabular pivotCacheId="2">
      <items count="8">
        <i x="2" s="1"/>
        <i x="0" s="1"/>
        <i x="7" s="1"/>
        <i x="1" s="1"/>
        <i x="4" s="1"/>
        <i x="5" s="1"/>
        <i x="3"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0000000-0013-0000-FFFF-FFFF04000000}" sourceName="Month">
  <pivotTables>
    <pivotTable tabId="17" name="PivotTable1"/>
    <pivotTable tabId="17" name="PivotTable2"/>
    <pivotTable tabId="17" name="PivotTable3"/>
    <pivotTable tabId="17" name="PivotTable4"/>
    <pivotTable tabId="19" name="PivotTable10"/>
    <pivotTable tabId="19" name="PivotTable11"/>
    <pivotTable tabId="19" name="PivotTable12"/>
    <pivotTable tabId="19" name="PivotTable5"/>
    <pivotTable tabId="19" name="PivotTable6"/>
    <pivotTable tabId="19" name="PivotTable7"/>
    <pivotTable tabId="19" name="PivotTable8"/>
  </pivotTables>
  <data>
    <tabular pivotCacheId="2">
      <items count="12">
        <i x="7" s="1"/>
        <i x="3" s="1"/>
        <i x="0" s="1"/>
        <i x="11" s="1"/>
        <i x="2" s="1"/>
        <i x="6" s="1"/>
        <i x="10" s="1"/>
        <i x="8" s="1"/>
        <i x="4" s="1"/>
        <i x="5" s="1"/>
        <i x="1" s="1"/>
        <i x="9"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502F4605-3CD6-2741-B249-846FBC81C8A4}" sourceName="Column1">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00000000-0014-0000-FFFF-FFFF01000000}" cache="Slicer_Product" caption="Product" rowHeight="241300"/>
  <slicer name="Category" xr10:uid="{00000000-0014-0000-FFFF-FFFF02000000}" cache="Slicer_Category" caption="Category" rowHeight="241300"/>
  <slicer name="Region" xr10:uid="{00000000-0014-0000-FFFF-FFFF03000000}" cache="Slicer_Region" caption="Region" rowHeight="241300"/>
  <slicer name="Month" xr10:uid="{00000000-0014-0000-FFFF-FFFF04000000}" cache="Slicer_Month" caption="Month"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xr10:uid="{A8A452DC-3DBD-F842-BA61-5E09623CDABB}" cache="Slicer_Column1" caption="Column1" rowHeight="230716"/>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1" xr10:uid="{00000000-0014-0000-FFFF-FFFF05000000}" cache="Slicer_Product" caption="Product" rowHeight="457200"/>
  <slicer name="Category 1" xr10:uid="{00000000-0014-0000-FFFF-FFFF06000000}" cache="Slicer_Category" caption="Category" rowHeight="365760"/>
  <slicer name="Region 1" xr10:uid="{00000000-0014-0000-FFFF-FFFF07000000}" cache="Slicer_Region" caption="Region" rowHeight="274320"/>
  <slicer name="Month 1" xr10:uid="{00000000-0014-0000-FFFF-FFFF08000000}" cache="Slicer_Month" caption="Month" rowHeight="54864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1 1" xr10:uid="{0347A692-133A-A541-9CF7-651B7A9ACC54}" cache="Slicer_Column1" caption="States" rowHeight="4572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94409BC-B2C8-2844-9E83-5DC207CC75C1}" name="Table1" displayName="Table1" ref="O2:P10" totalsRowShown="0">
  <autoFilter ref="O2:P10" xr:uid="{194409BC-B2C8-2844-9E83-5DC207CC75C1}"/>
  <tableColumns count="2">
    <tableColumn id="1" xr3:uid="{49987150-69B0-FD47-A25E-2422D5175128}" name="Column1" dataDxfId="305"/>
    <tableColumn id="2" xr3:uid="{06BD4D32-F567-284B-95D6-242CE3EEF21F}" name="Column2" dataDxfId="304"/>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8" Type="http://schemas.microsoft.com/office/2007/relationships/slicer" Target="../slicers/slicer2.xml"/><Relationship Id="rId3" Type="http://schemas.openxmlformats.org/officeDocument/2006/relationships/pivotTable" Target="../pivotTables/pivotTable10.xml"/><Relationship Id="rId7" Type="http://schemas.microsoft.com/office/2007/relationships/slicer" Target="../slicers/slicer1.xml"/><Relationship Id="rId2" Type="http://schemas.openxmlformats.org/officeDocument/2006/relationships/pivotTable" Target="../pivotTables/pivotTable9.xml"/><Relationship Id="rId1" Type="http://schemas.openxmlformats.org/officeDocument/2006/relationships/pivotTable" Target="../pivotTables/pivotTable8.xml"/><Relationship Id="rId6" Type="http://schemas.openxmlformats.org/officeDocument/2006/relationships/table" Target="../tables/table1.xml"/><Relationship Id="rId5" Type="http://schemas.openxmlformats.org/officeDocument/2006/relationships/drawing" Target="../drawings/drawing2.xml"/><Relationship Id="rId4" Type="http://schemas.openxmlformats.org/officeDocument/2006/relationships/pivotTable" Target="../pivotTables/pivotTable11.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1.bin"/><Relationship Id="rId4" Type="http://schemas.microsoft.com/office/2007/relationships/slicer" Target="../slicers/slicer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41"/>
  <sheetViews>
    <sheetView zoomScale="130" zoomScaleNormal="130" workbookViewId="0">
      <selection activeCell="I8" sqref="I8"/>
    </sheetView>
  </sheetViews>
  <sheetFormatPr baseColWidth="10" defaultColWidth="8.83203125" defaultRowHeight="15" x14ac:dyDescent="0.2"/>
  <cols>
    <col min="1" max="1" width="19" bestFit="1" customWidth="1"/>
    <col min="2" max="2" width="10.5" bestFit="1" customWidth="1"/>
    <col min="3" max="3" width="10.1640625" bestFit="1" customWidth="1"/>
    <col min="4" max="4" width="19.5" bestFit="1" customWidth="1"/>
    <col min="5" max="5" width="11.83203125" bestFit="1" customWidth="1"/>
    <col min="6" max="6" width="15.6640625" bestFit="1" customWidth="1"/>
    <col min="7" max="7" width="9.83203125" bestFit="1" customWidth="1"/>
    <col min="8" max="8" width="12.33203125" bestFit="1" customWidth="1"/>
    <col min="9" max="9" width="13.1640625" bestFit="1" customWidth="1"/>
  </cols>
  <sheetData>
    <row r="1" spans="1:9" x14ac:dyDescent="0.2">
      <c r="A1" s="1" t="s">
        <v>0</v>
      </c>
      <c r="B1" s="1" t="s">
        <v>1</v>
      </c>
      <c r="C1" s="1" t="s">
        <v>2</v>
      </c>
      <c r="D1" s="1" t="s">
        <v>3</v>
      </c>
      <c r="E1" s="1" t="s">
        <v>4</v>
      </c>
      <c r="F1" s="1" t="s">
        <v>5</v>
      </c>
      <c r="G1" s="1" t="s">
        <v>6</v>
      </c>
      <c r="H1" s="1" t="s">
        <v>7</v>
      </c>
      <c r="I1" s="1" t="s">
        <v>8</v>
      </c>
    </row>
    <row r="2" spans="1:9" x14ac:dyDescent="0.2">
      <c r="A2" s="2">
        <v>45742</v>
      </c>
      <c r="B2" t="s">
        <v>9</v>
      </c>
      <c r="C2" t="s">
        <v>10</v>
      </c>
      <c r="D2" t="s">
        <v>11</v>
      </c>
      <c r="E2" t="s">
        <v>12</v>
      </c>
      <c r="F2" t="s">
        <v>13</v>
      </c>
      <c r="G2">
        <v>14</v>
      </c>
      <c r="H2">
        <v>4560</v>
      </c>
      <c r="I2">
        <v>63840</v>
      </c>
    </row>
    <row r="3" spans="1:9" x14ac:dyDescent="0.2">
      <c r="A3" s="2">
        <v>45620</v>
      </c>
      <c r="B3" t="s">
        <v>14</v>
      </c>
      <c r="C3" t="s">
        <v>15</v>
      </c>
      <c r="D3" t="s">
        <v>16</v>
      </c>
      <c r="E3" t="s">
        <v>17</v>
      </c>
      <c r="F3" t="s">
        <v>18</v>
      </c>
      <c r="G3">
        <v>15</v>
      </c>
      <c r="H3">
        <v>22675</v>
      </c>
      <c r="I3">
        <v>340125</v>
      </c>
    </row>
    <row r="4" spans="1:9" x14ac:dyDescent="0.2">
      <c r="A4" s="2">
        <v>45421</v>
      </c>
      <c r="B4" t="s">
        <v>19</v>
      </c>
      <c r="C4" t="s">
        <v>20</v>
      </c>
      <c r="D4" t="s">
        <v>21</v>
      </c>
      <c r="E4" t="s">
        <v>12</v>
      </c>
      <c r="F4" t="s">
        <v>22</v>
      </c>
      <c r="G4">
        <v>3</v>
      </c>
      <c r="H4">
        <v>8545</v>
      </c>
      <c r="I4">
        <v>25635</v>
      </c>
    </row>
    <row r="5" spans="1:9" x14ac:dyDescent="0.2">
      <c r="A5" s="2">
        <v>45703</v>
      </c>
      <c r="B5" t="s">
        <v>23</v>
      </c>
      <c r="C5" t="s">
        <v>24</v>
      </c>
      <c r="D5" t="s">
        <v>25</v>
      </c>
      <c r="E5" t="s">
        <v>26</v>
      </c>
      <c r="F5" t="s">
        <v>27</v>
      </c>
      <c r="G5">
        <v>10</v>
      </c>
      <c r="H5">
        <v>15156</v>
      </c>
      <c r="I5">
        <v>151560</v>
      </c>
    </row>
    <row r="6" spans="1:9" x14ac:dyDescent="0.2">
      <c r="A6" s="2">
        <v>45537</v>
      </c>
      <c r="B6" t="s">
        <v>28</v>
      </c>
      <c r="C6" t="s">
        <v>29</v>
      </c>
      <c r="D6" t="s">
        <v>30</v>
      </c>
      <c r="E6" t="s">
        <v>31</v>
      </c>
      <c r="F6" t="s">
        <v>32</v>
      </c>
      <c r="G6">
        <v>4</v>
      </c>
      <c r="H6">
        <v>4307</v>
      </c>
      <c r="I6">
        <v>17228</v>
      </c>
    </row>
    <row r="7" spans="1:9" x14ac:dyDescent="0.2">
      <c r="A7" s="2">
        <v>45585</v>
      </c>
      <c r="B7" t="s">
        <v>33</v>
      </c>
      <c r="C7" t="s">
        <v>34</v>
      </c>
      <c r="D7" t="s">
        <v>35</v>
      </c>
      <c r="E7" t="s">
        <v>12</v>
      </c>
      <c r="F7" t="s">
        <v>36</v>
      </c>
      <c r="G7">
        <v>24</v>
      </c>
      <c r="H7">
        <v>19194</v>
      </c>
      <c r="I7">
        <v>460656</v>
      </c>
    </row>
    <row r="8" spans="1:9" x14ac:dyDescent="0.2">
      <c r="A8" s="2">
        <v>45715</v>
      </c>
      <c r="B8" t="s">
        <v>37</v>
      </c>
      <c r="C8" t="s">
        <v>38</v>
      </c>
      <c r="D8" t="s">
        <v>39</v>
      </c>
      <c r="E8" t="s">
        <v>40</v>
      </c>
      <c r="F8" t="s">
        <v>41</v>
      </c>
      <c r="G8">
        <v>1</v>
      </c>
      <c r="H8">
        <v>21159</v>
      </c>
      <c r="I8">
        <v>21159</v>
      </c>
    </row>
    <row r="9" spans="1:9" x14ac:dyDescent="0.2">
      <c r="A9" s="2">
        <v>45464</v>
      </c>
      <c r="B9" t="s">
        <v>33</v>
      </c>
      <c r="C9" t="s">
        <v>42</v>
      </c>
      <c r="D9" t="s">
        <v>43</v>
      </c>
      <c r="E9" t="s">
        <v>44</v>
      </c>
      <c r="F9" t="s">
        <v>45</v>
      </c>
      <c r="G9">
        <v>25</v>
      </c>
      <c r="H9">
        <v>17881</v>
      </c>
      <c r="I9">
        <v>447025</v>
      </c>
    </row>
    <row r="10" spans="1:9" x14ac:dyDescent="0.2">
      <c r="A10" s="2">
        <v>45699</v>
      </c>
      <c r="B10" t="s">
        <v>46</v>
      </c>
      <c r="C10" t="s">
        <v>47</v>
      </c>
      <c r="D10" t="s">
        <v>48</v>
      </c>
      <c r="E10" t="s">
        <v>31</v>
      </c>
      <c r="F10" t="s">
        <v>32</v>
      </c>
      <c r="G10">
        <v>19</v>
      </c>
      <c r="H10">
        <v>14851</v>
      </c>
      <c r="I10">
        <v>282169</v>
      </c>
    </row>
    <row r="11" spans="1:9" x14ac:dyDescent="0.2">
      <c r="A11" s="2">
        <v>45661</v>
      </c>
      <c r="B11" t="s">
        <v>49</v>
      </c>
      <c r="C11" t="s">
        <v>50</v>
      </c>
      <c r="D11" t="s">
        <v>51</v>
      </c>
      <c r="E11" t="s">
        <v>31</v>
      </c>
      <c r="F11" t="s">
        <v>52</v>
      </c>
      <c r="G11">
        <v>2</v>
      </c>
      <c r="H11">
        <v>6236</v>
      </c>
      <c r="I11">
        <v>12472</v>
      </c>
    </row>
    <row r="12" spans="1:9" x14ac:dyDescent="0.2">
      <c r="A12" s="2">
        <v>45520</v>
      </c>
      <c r="B12" t="s">
        <v>53</v>
      </c>
      <c r="C12" t="s">
        <v>54</v>
      </c>
      <c r="D12" t="s">
        <v>55</v>
      </c>
      <c r="E12" t="s">
        <v>56</v>
      </c>
      <c r="F12" t="s">
        <v>57</v>
      </c>
      <c r="G12">
        <v>9</v>
      </c>
      <c r="H12">
        <v>6747</v>
      </c>
      <c r="I12">
        <v>60723</v>
      </c>
    </row>
    <row r="13" spans="1:9" x14ac:dyDescent="0.2">
      <c r="A13" s="2">
        <v>45543</v>
      </c>
      <c r="B13" t="s">
        <v>58</v>
      </c>
      <c r="C13" t="s">
        <v>59</v>
      </c>
      <c r="D13" t="s">
        <v>60</v>
      </c>
      <c r="E13" t="s">
        <v>44</v>
      </c>
      <c r="F13" t="s">
        <v>61</v>
      </c>
      <c r="G13">
        <v>19</v>
      </c>
      <c r="H13">
        <v>7028</v>
      </c>
      <c r="I13">
        <v>133532</v>
      </c>
    </row>
    <row r="14" spans="1:9" x14ac:dyDescent="0.2">
      <c r="A14" s="2">
        <v>45735</v>
      </c>
      <c r="B14" t="s">
        <v>62</v>
      </c>
      <c r="C14" t="s">
        <v>63</v>
      </c>
      <c r="D14" t="s">
        <v>64</v>
      </c>
      <c r="E14" t="s">
        <v>56</v>
      </c>
      <c r="F14" t="s">
        <v>18</v>
      </c>
      <c r="G14">
        <v>23</v>
      </c>
      <c r="H14">
        <v>17772</v>
      </c>
      <c r="I14">
        <v>408756</v>
      </c>
    </row>
    <row r="15" spans="1:9" x14ac:dyDescent="0.2">
      <c r="A15" s="2">
        <v>45465</v>
      </c>
      <c r="B15" t="s">
        <v>46</v>
      </c>
      <c r="C15" t="s">
        <v>65</v>
      </c>
      <c r="D15" t="s">
        <v>66</v>
      </c>
      <c r="E15" t="s">
        <v>31</v>
      </c>
      <c r="F15" t="s">
        <v>67</v>
      </c>
      <c r="G15">
        <v>12</v>
      </c>
      <c r="H15">
        <v>10876</v>
      </c>
      <c r="I15">
        <v>130512</v>
      </c>
    </row>
    <row r="16" spans="1:9" x14ac:dyDescent="0.2">
      <c r="A16" s="2">
        <v>45632</v>
      </c>
      <c r="B16" t="s">
        <v>23</v>
      </c>
      <c r="C16" t="s">
        <v>24</v>
      </c>
      <c r="D16" t="s">
        <v>68</v>
      </c>
      <c r="E16" t="s">
        <v>56</v>
      </c>
      <c r="F16" t="s">
        <v>69</v>
      </c>
      <c r="G16">
        <v>24</v>
      </c>
      <c r="H16">
        <v>3761</v>
      </c>
      <c r="I16">
        <v>90264</v>
      </c>
    </row>
    <row r="17" spans="1:9" x14ac:dyDescent="0.2">
      <c r="A17" s="2">
        <v>45602</v>
      </c>
      <c r="B17" t="s">
        <v>70</v>
      </c>
      <c r="C17" t="s">
        <v>71</v>
      </c>
      <c r="D17" t="s">
        <v>72</v>
      </c>
      <c r="E17" t="s">
        <v>73</v>
      </c>
      <c r="F17" t="s">
        <v>74</v>
      </c>
      <c r="G17">
        <v>13</v>
      </c>
      <c r="H17">
        <v>11526</v>
      </c>
      <c r="I17">
        <v>149838</v>
      </c>
    </row>
    <row r="18" spans="1:9" x14ac:dyDescent="0.2">
      <c r="A18" s="2">
        <v>45520</v>
      </c>
      <c r="B18" t="s">
        <v>75</v>
      </c>
      <c r="C18" t="s">
        <v>76</v>
      </c>
      <c r="D18" t="s">
        <v>77</v>
      </c>
      <c r="E18" t="s">
        <v>78</v>
      </c>
      <c r="F18" t="s">
        <v>69</v>
      </c>
      <c r="G18">
        <v>21</v>
      </c>
      <c r="H18">
        <v>17158</v>
      </c>
      <c r="I18">
        <v>360318</v>
      </c>
    </row>
    <row r="19" spans="1:9" x14ac:dyDescent="0.2">
      <c r="A19" s="2">
        <v>45678</v>
      </c>
      <c r="B19" t="s">
        <v>53</v>
      </c>
      <c r="C19" t="s">
        <v>79</v>
      </c>
      <c r="D19" t="s">
        <v>80</v>
      </c>
      <c r="E19" t="s">
        <v>81</v>
      </c>
      <c r="F19" t="s">
        <v>13</v>
      </c>
      <c r="G19">
        <v>4</v>
      </c>
      <c r="H19">
        <v>3976</v>
      </c>
      <c r="I19">
        <v>15904</v>
      </c>
    </row>
    <row r="20" spans="1:9" x14ac:dyDescent="0.2">
      <c r="A20" s="2">
        <v>45479</v>
      </c>
      <c r="B20" t="s">
        <v>82</v>
      </c>
      <c r="C20" t="s">
        <v>83</v>
      </c>
      <c r="D20" t="s">
        <v>84</v>
      </c>
      <c r="E20" t="s">
        <v>78</v>
      </c>
      <c r="F20" t="s">
        <v>85</v>
      </c>
      <c r="G20">
        <v>11</v>
      </c>
      <c r="H20">
        <v>16298</v>
      </c>
      <c r="I20">
        <v>179278</v>
      </c>
    </row>
    <row r="21" spans="1:9" x14ac:dyDescent="0.2">
      <c r="A21" s="2">
        <v>45540</v>
      </c>
      <c r="B21" t="s">
        <v>86</v>
      </c>
      <c r="C21" t="s">
        <v>87</v>
      </c>
      <c r="D21" t="s">
        <v>88</v>
      </c>
      <c r="E21" t="s">
        <v>81</v>
      </c>
      <c r="F21" t="s">
        <v>89</v>
      </c>
      <c r="G21">
        <v>23</v>
      </c>
      <c r="H21">
        <v>13989</v>
      </c>
      <c r="I21">
        <v>321747</v>
      </c>
    </row>
    <row r="22" spans="1:9" x14ac:dyDescent="0.2">
      <c r="A22" s="2">
        <v>45463</v>
      </c>
      <c r="B22" t="s">
        <v>90</v>
      </c>
      <c r="C22" t="s">
        <v>91</v>
      </c>
      <c r="D22" t="s">
        <v>92</v>
      </c>
      <c r="E22" t="s">
        <v>73</v>
      </c>
      <c r="F22" t="s">
        <v>93</v>
      </c>
      <c r="G22">
        <v>22</v>
      </c>
      <c r="H22">
        <v>8507</v>
      </c>
      <c r="I22">
        <v>187154</v>
      </c>
    </row>
    <row r="23" spans="1:9" x14ac:dyDescent="0.2">
      <c r="A23" s="2">
        <v>45619</v>
      </c>
      <c r="B23" t="s">
        <v>94</v>
      </c>
      <c r="C23" t="s">
        <v>95</v>
      </c>
      <c r="D23" t="s">
        <v>96</v>
      </c>
      <c r="E23" t="s">
        <v>12</v>
      </c>
      <c r="F23" t="s">
        <v>97</v>
      </c>
      <c r="G23">
        <v>20</v>
      </c>
      <c r="H23">
        <v>17134</v>
      </c>
      <c r="I23">
        <v>342680</v>
      </c>
    </row>
    <row r="24" spans="1:9" x14ac:dyDescent="0.2">
      <c r="A24" s="2">
        <v>45723</v>
      </c>
      <c r="B24" t="s">
        <v>90</v>
      </c>
      <c r="C24" t="s">
        <v>98</v>
      </c>
      <c r="D24" t="s">
        <v>99</v>
      </c>
      <c r="E24" t="s">
        <v>12</v>
      </c>
      <c r="F24" t="s">
        <v>89</v>
      </c>
      <c r="G24">
        <v>13</v>
      </c>
      <c r="H24">
        <v>18754</v>
      </c>
      <c r="I24">
        <v>243802</v>
      </c>
    </row>
    <row r="25" spans="1:9" x14ac:dyDescent="0.2">
      <c r="A25" s="2">
        <v>45555</v>
      </c>
      <c r="B25" t="s">
        <v>100</v>
      </c>
      <c r="C25" t="s">
        <v>59</v>
      </c>
      <c r="D25" t="s">
        <v>92</v>
      </c>
      <c r="E25" t="s">
        <v>101</v>
      </c>
      <c r="F25" t="s">
        <v>102</v>
      </c>
      <c r="G25">
        <v>12</v>
      </c>
      <c r="H25">
        <v>20582</v>
      </c>
      <c r="I25">
        <v>246984</v>
      </c>
    </row>
    <row r="26" spans="1:9" x14ac:dyDescent="0.2">
      <c r="A26" s="2">
        <v>45702</v>
      </c>
      <c r="B26" t="s">
        <v>103</v>
      </c>
      <c r="C26" t="s">
        <v>104</v>
      </c>
      <c r="D26" t="s">
        <v>105</v>
      </c>
      <c r="E26" t="s">
        <v>26</v>
      </c>
      <c r="F26" t="s">
        <v>106</v>
      </c>
      <c r="G26">
        <v>11</v>
      </c>
      <c r="H26">
        <v>21338</v>
      </c>
      <c r="I26">
        <v>234718</v>
      </c>
    </row>
    <row r="27" spans="1:9" x14ac:dyDescent="0.2">
      <c r="A27" s="2">
        <v>45646</v>
      </c>
      <c r="B27" t="s">
        <v>107</v>
      </c>
      <c r="C27" t="s">
        <v>108</v>
      </c>
      <c r="D27" t="s">
        <v>109</v>
      </c>
      <c r="E27" t="s">
        <v>31</v>
      </c>
      <c r="F27" t="s">
        <v>110</v>
      </c>
      <c r="G27">
        <v>24</v>
      </c>
      <c r="H27">
        <v>19511</v>
      </c>
      <c r="I27">
        <v>468264</v>
      </c>
    </row>
    <row r="28" spans="1:9" x14ac:dyDescent="0.2">
      <c r="A28" s="2">
        <v>45463</v>
      </c>
      <c r="B28" t="s">
        <v>111</v>
      </c>
      <c r="C28" t="s">
        <v>112</v>
      </c>
      <c r="D28" t="s">
        <v>113</v>
      </c>
      <c r="E28" t="s">
        <v>73</v>
      </c>
      <c r="F28" t="s">
        <v>114</v>
      </c>
      <c r="G28">
        <v>21</v>
      </c>
      <c r="H28">
        <v>14703</v>
      </c>
      <c r="I28">
        <v>308763</v>
      </c>
    </row>
    <row r="29" spans="1:9" x14ac:dyDescent="0.2">
      <c r="A29" s="2">
        <v>45521</v>
      </c>
      <c r="B29" t="s">
        <v>9</v>
      </c>
      <c r="C29" t="s">
        <v>115</v>
      </c>
      <c r="D29" t="s">
        <v>116</v>
      </c>
      <c r="E29" t="s">
        <v>81</v>
      </c>
      <c r="F29" t="s">
        <v>117</v>
      </c>
      <c r="G29">
        <v>11</v>
      </c>
      <c r="H29">
        <v>4717</v>
      </c>
      <c r="I29">
        <v>51887</v>
      </c>
    </row>
    <row r="30" spans="1:9" x14ac:dyDescent="0.2">
      <c r="A30" s="2">
        <v>45653</v>
      </c>
      <c r="B30" t="s">
        <v>118</v>
      </c>
      <c r="C30" t="s">
        <v>119</v>
      </c>
      <c r="D30" t="s">
        <v>120</v>
      </c>
      <c r="E30" t="s">
        <v>44</v>
      </c>
      <c r="F30" t="s">
        <v>45</v>
      </c>
      <c r="G30">
        <v>25</v>
      </c>
      <c r="H30">
        <v>21803</v>
      </c>
      <c r="I30">
        <v>545075</v>
      </c>
    </row>
    <row r="31" spans="1:9" x14ac:dyDescent="0.2">
      <c r="A31" s="2">
        <v>45517</v>
      </c>
      <c r="B31" t="s">
        <v>33</v>
      </c>
      <c r="C31" t="s">
        <v>121</v>
      </c>
      <c r="D31" t="s">
        <v>122</v>
      </c>
      <c r="E31" t="s">
        <v>101</v>
      </c>
      <c r="F31" t="s">
        <v>13</v>
      </c>
      <c r="G31">
        <v>5</v>
      </c>
      <c r="H31">
        <v>13052</v>
      </c>
      <c r="I31">
        <v>65260</v>
      </c>
    </row>
    <row r="32" spans="1:9" x14ac:dyDescent="0.2">
      <c r="A32" s="2">
        <v>45521</v>
      </c>
      <c r="B32" t="s">
        <v>123</v>
      </c>
      <c r="C32" t="s">
        <v>124</v>
      </c>
      <c r="D32" t="s">
        <v>125</v>
      </c>
      <c r="E32" t="s">
        <v>40</v>
      </c>
      <c r="F32" t="s">
        <v>85</v>
      </c>
      <c r="G32">
        <v>11</v>
      </c>
      <c r="H32">
        <v>13945</v>
      </c>
      <c r="I32">
        <v>153395</v>
      </c>
    </row>
    <row r="33" spans="1:9" x14ac:dyDescent="0.2">
      <c r="A33" s="2">
        <v>45522</v>
      </c>
      <c r="B33" t="s">
        <v>28</v>
      </c>
      <c r="C33" t="s">
        <v>126</v>
      </c>
      <c r="D33" t="s">
        <v>127</v>
      </c>
      <c r="E33" t="s">
        <v>12</v>
      </c>
      <c r="F33" t="s">
        <v>22</v>
      </c>
      <c r="G33">
        <v>14</v>
      </c>
      <c r="H33">
        <v>24869</v>
      </c>
      <c r="I33">
        <v>348166</v>
      </c>
    </row>
    <row r="34" spans="1:9" x14ac:dyDescent="0.2">
      <c r="A34" s="2">
        <v>45608</v>
      </c>
      <c r="B34" t="s">
        <v>128</v>
      </c>
      <c r="C34" t="s">
        <v>24</v>
      </c>
      <c r="D34" t="s">
        <v>129</v>
      </c>
      <c r="E34" t="s">
        <v>44</v>
      </c>
      <c r="F34" t="s">
        <v>130</v>
      </c>
      <c r="G34">
        <v>4</v>
      </c>
      <c r="H34">
        <v>2941</v>
      </c>
      <c r="I34">
        <v>11764</v>
      </c>
    </row>
    <row r="35" spans="1:9" x14ac:dyDescent="0.2">
      <c r="A35" s="2">
        <v>45496</v>
      </c>
      <c r="B35" t="s">
        <v>131</v>
      </c>
      <c r="C35" t="s">
        <v>132</v>
      </c>
      <c r="D35" t="s">
        <v>133</v>
      </c>
      <c r="E35" t="s">
        <v>81</v>
      </c>
      <c r="F35" t="s">
        <v>102</v>
      </c>
      <c r="G35">
        <v>16</v>
      </c>
      <c r="H35">
        <v>18936</v>
      </c>
      <c r="I35">
        <v>302976</v>
      </c>
    </row>
    <row r="36" spans="1:9" x14ac:dyDescent="0.2">
      <c r="A36" s="2">
        <v>45510</v>
      </c>
      <c r="B36" t="s">
        <v>19</v>
      </c>
      <c r="C36" t="s">
        <v>134</v>
      </c>
      <c r="D36" t="s">
        <v>129</v>
      </c>
      <c r="E36" t="s">
        <v>26</v>
      </c>
      <c r="F36" t="s">
        <v>22</v>
      </c>
      <c r="G36">
        <v>16</v>
      </c>
      <c r="H36">
        <v>8088</v>
      </c>
      <c r="I36">
        <v>129408</v>
      </c>
    </row>
    <row r="37" spans="1:9" x14ac:dyDescent="0.2">
      <c r="A37" s="2">
        <v>45599</v>
      </c>
      <c r="B37" t="s">
        <v>135</v>
      </c>
      <c r="C37" t="s">
        <v>136</v>
      </c>
      <c r="D37" t="s">
        <v>96</v>
      </c>
      <c r="E37" t="s">
        <v>26</v>
      </c>
      <c r="F37" t="s">
        <v>110</v>
      </c>
      <c r="G37">
        <v>21</v>
      </c>
      <c r="H37">
        <v>9383</v>
      </c>
      <c r="I37">
        <v>197043</v>
      </c>
    </row>
    <row r="38" spans="1:9" x14ac:dyDescent="0.2">
      <c r="A38" s="2">
        <v>45461</v>
      </c>
      <c r="B38" t="s">
        <v>53</v>
      </c>
      <c r="C38" t="s">
        <v>137</v>
      </c>
      <c r="D38" t="s">
        <v>55</v>
      </c>
      <c r="E38" t="s">
        <v>78</v>
      </c>
      <c r="F38" t="s">
        <v>41</v>
      </c>
      <c r="G38">
        <v>15</v>
      </c>
      <c r="H38">
        <v>23720</v>
      </c>
      <c r="I38">
        <v>355800</v>
      </c>
    </row>
    <row r="39" spans="1:9" x14ac:dyDescent="0.2">
      <c r="A39" s="2">
        <v>45578</v>
      </c>
      <c r="B39" t="s">
        <v>138</v>
      </c>
      <c r="C39" t="s">
        <v>139</v>
      </c>
      <c r="D39" t="s">
        <v>140</v>
      </c>
      <c r="E39" t="s">
        <v>31</v>
      </c>
      <c r="F39" t="s">
        <v>41</v>
      </c>
      <c r="G39">
        <v>15</v>
      </c>
      <c r="H39">
        <v>21702</v>
      </c>
      <c r="I39">
        <v>325530</v>
      </c>
    </row>
    <row r="40" spans="1:9" x14ac:dyDescent="0.2">
      <c r="A40" s="2">
        <v>45705</v>
      </c>
      <c r="B40" t="s">
        <v>53</v>
      </c>
      <c r="C40" t="s">
        <v>141</v>
      </c>
      <c r="D40" t="s">
        <v>142</v>
      </c>
      <c r="E40" t="s">
        <v>40</v>
      </c>
      <c r="F40" t="s">
        <v>41</v>
      </c>
      <c r="G40">
        <v>5</v>
      </c>
      <c r="H40">
        <v>22297</v>
      </c>
      <c r="I40">
        <v>111485</v>
      </c>
    </row>
    <row r="41" spans="1:9" x14ac:dyDescent="0.2">
      <c r="A41" s="2">
        <v>45440</v>
      </c>
      <c r="B41" t="s">
        <v>23</v>
      </c>
      <c r="C41" t="s">
        <v>63</v>
      </c>
      <c r="D41" t="s">
        <v>143</v>
      </c>
      <c r="E41" t="s">
        <v>101</v>
      </c>
      <c r="F41" t="s">
        <v>27</v>
      </c>
      <c r="G41">
        <v>24</v>
      </c>
      <c r="H41">
        <v>4158</v>
      </c>
      <c r="I41">
        <v>99792</v>
      </c>
    </row>
    <row r="42" spans="1:9" x14ac:dyDescent="0.2">
      <c r="A42" s="2">
        <v>45474</v>
      </c>
      <c r="B42" t="s">
        <v>19</v>
      </c>
      <c r="C42" t="s">
        <v>144</v>
      </c>
      <c r="D42" t="s">
        <v>145</v>
      </c>
      <c r="E42" t="s">
        <v>44</v>
      </c>
      <c r="F42" t="s">
        <v>146</v>
      </c>
      <c r="G42">
        <v>12</v>
      </c>
      <c r="H42">
        <v>24672</v>
      </c>
      <c r="I42">
        <v>296064</v>
      </c>
    </row>
    <row r="43" spans="1:9" x14ac:dyDescent="0.2">
      <c r="A43" s="2">
        <v>45720</v>
      </c>
      <c r="B43" t="s">
        <v>62</v>
      </c>
      <c r="C43" t="s">
        <v>134</v>
      </c>
      <c r="D43" t="s">
        <v>147</v>
      </c>
      <c r="E43" t="s">
        <v>81</v>
      </c>
      <c r="F43" t="s">
        <v>148</v>
      </c>
      <c r="G43">
        <v>24</v>
      </c>
      <c r="H43">
        <v>2575</v>
      </c>
      <c r="I43">
        <v>61800</v>
      </c>
    </row>
    <row r="44" spans="1:9" x14ac:dyDescent="0.2">
      <c r="A44" s="2">
        <v>45671</v>
      </c>
      <c r="B44" t="s">
        <v>58</v>
      </c>
      <c r="C44" t="s">
        <v>149</v>
      </c>
      <c r="D44" t="s">
        <v>122</v>
      </c>
      <c r="E44" t="s">
        <v>73</v>
      </c>
      <c r="F44" t="s">
        <v>45</v>
      </c>
      <c r="G44">
        <v>5</v>
      </c>
      <c r="H44">
        <v>12236</v>
      </c>
      <c r="I44">
        <v>61180</v>
      </c>
    </row>
    <row r="45" spans="1:9" x14ac:dyDescent="0.2">
      <c r="A45" s="2">
        <v>45415</v>
      </c>
      <c r="B45" t="s">
        <v>150</v>
      </c>
      <c r="C45" t="s">
        <v>121</v>
      </c>
      <c r="D45" t="s">
        <v>151</v>
      </c>
      <c r="E45" t="s">
        <v>81</v>
      </c>
      <c r="F45" t="s">
        <v>36</v>
      </c>
      <c r="G45">
        <v>19</v>
      </c>
      <c r="H45">
        <v>8016</v>
      </c>
      <c r="I45">
        <v>152304</v>
      </c>
    </row>
    <row r="46" spans="1:9" x14ac:dyDescent="0.2">
      <c r="A46" s="2">
        <v>45736</v>
      </c>
      <c r="B46" t="s">
        <v>107</v>
      </c>
      <c r="C46" t="s">
        <v>152</v>
      </c>
      <c r="D46" t="s">
        <v>153</v>
      </c>
      <c r="E46" t="s">
        <v>81</v>
      </c>
      <c r="F46" t="s">
        <v>22</v>
      </c>
      <c r="G46">
        <v>3</v>
      </c>
      <c r="H46">
        <v>10441</v>
      </c>
      <c r="I46">
        <v>31323</v>
      </c>
    </row>
    <row r="47" spans="1:9" x14ac:dyDescent="0.2">
      <c r="A47" s="2">
        <v>45658</v>
      </c>
      <c r="B47" t="s">
        <v>111</v>
      </c>
      <c r="C47" t="s">
        <v>121</v>
      </c>
      <c r="D47" t="s">
        <v>154</v>
      </c>
      <c r="E47" t="s">
        <v>81</v>
      </c>
      <c r="F47" t="s">
        <v>61</v>
      </c>
      <c r="G47">
        <v>15</v>
      </c>
      <c r="H47">
        <v>11344</v>
      </c>
      <c r="I47">
        <v>170160</v>
      </c>
    </row>
    <row r="48" spans="1:9" x14ac:dyDescent="0.2">
      <c r="A48" s="2">
        <v>45548</v>
      </c>
      <c r="B48" t="s">
        <v>19</v>
      </c>
      <c r="C48" t="s">
        <v>42</v>
      </c>
      <c r="D48" t="s">
        <v>155</v>
      </c>
      <c r="E48" t="s">
        <v>12</v>
      </c>
      <c r="F48" t="s">
        <v>85</v>
      </c>
      <c r="G48">
        <v>25</v>
      </c>
      <c r="H48">
        <v>22829</v>
      </c>
      <c r="I48">
        <v>570725</v>
      </c>
    </row>
    <row r="49" spans="1:9" x14ac:dyDescent="0.2">
      <c r="A49" s="2">
        <v>45395</v>
      </c>
      <c r="B49" t="s">
        <v>53</v>
      </c>
      <c r="C49" t="s">
        <v>156</v>
      </c>
      <c r="D49" t="s">
        <v>157</v>
      </c>
      <c r="E49" t="s">
        <v>56</v>
      </c>
      <c r="F49" t="s">
        <v>158</v>
      </c>
      <c r="G49">
        <v>15</v>
      </c>
      <c r="H49">
        <v>14380</v>
      </c>
      <c r="I49">
        <v>215700</v>
      </c>
    </row>
    <row r="50" spans="1:9" x14ac:dyDescent="0.2">
      <c r="A50" s="2">
        <v>45487</v>
      </c>
      <c r="B50" t="s">
        <v>159</v>
      </c>
      <c r="C50" t="s">
        <v>160</v>
      </c>
      <c r="D50" t="s">
        <v>21</v>
      </c>
      <c r="E50" t="s">
        <v>161</v>
      </c>
      <c r="F50" t="s">
        <v>85</v>
      </c>
      <c r="G50">
        <v>3</v>
      </c>
      <c r="H50">
        <v>21584</v>
      </c>
      <c r="I50">
        <v>64752</v>
      </c>
    </row>
    <row r="51" spans="1:9" x14ac:dyDescent="0.2">
      <c r="A51" s="2">
        <v>45731</v>
      </c>
      <c r="B51" t="s">
        <v>19</v>
      </c>
      <c r="C51" t="s">
        <v>162</v>
      </c>
      <c r="D51" t="s">
        <v>120</v>
      </c>
      <c r="E51" t="s">
        <v>81</v>
      </c>
      <c r="F51" t="s">
        <v>163</v>
      </c>
      <c r="G51">
        <v>20</v>
      </c>
      <c r="H51">
        <v>16137</v>
      </c>
      <c r="I51">
        <v>322740</v>
      </c>
    </row>
    <row r="52" spans="1:9" x14ac:dyDescent="0.2">
      <c r="A52" s="2">
        <v>45686</v>
      </c>
      <c r="B52" t="s">
        <v>9</v>
      </c>
      <c r="C52" t="s">
        <v>119</v>
      </c>
      <c r="D52" t="s">
        <v>164</v>
      </c>
      <c r="E52" t="s">
        <v>44</v>
      </c>
      <c r="F52" t="s">
        <v>165</v>
      </c>
      <c r="G52">
        <v>15</v>
      </c>
      <c r="H52">
        <v>8790</v>
      </c>
      <c r="I52">
        <v>131850</v>
      </c>
    </row>
    <row r="53" spans="1:9" x14ac:dyDescent="0.2">
      <c r="A53" s="2">
        <v>45450</v>
      </c>
      <c r="B53" t="s">
        <v>166</v>
      </c>
      <c r="C53" t="s">
        <v>119</v>
      </c>
      <c r="D53" t="s">
        <v>167</v>
      </c>
      <c r="E53" t="s">
        <v>44</v>
      </c>
      <c r="F53" t="s">
        <v>168</v>
      </c>
      <c r="G53">
        <v>15</v>
      </c>
      <c r="H53">
        <v>21154</v>
      </c>
      <c r="I53">
        <v>317310</v>
      </c>
    </row>
    <row r="54" spans="1:9" x14ac:dyDescent="0.2">
      <c r="A54" s="2">
        <v>45693</v>
      </c>
      <c r="B54" t="s">
        <v>169</v>
      </c>
      <c r="C54" t="s">
        <v>42</v>
      </c>
      <c r="D54" t="s">
        <v>129</v>
      </c>
      <c r="E54" t="s">
        <v>12</v>
      </c>
      <c r="F54" t="s">
        <v>165</v>
      </c>
      <c r="G54">
        <v>13</v>
      </c>
      <c r="H54">
        <v>22809</v>
      </c>
      <c r="I54">
        <v>296517</v>
      </c>
    </row>
    <row r="55" spans="1:9" x14ac:dyDescent="0.2">
      <c r="A55" s="2">
        <v>45539</v>
      </c>
      <c r="B55" t="s">
        <v>9</v>
      </c>
      <c r="C55" t="s">
        <v>170</v>
      </c>
      <c r="D55" t="s">
        <v>122</v>
      </c>
      <c r="E55" t="s">
        <v>40</v>
      </c>
      <c r="F55" t="s">
        <v>32</v>
      </c>
      <c r="G55">
        <v>22</v>
      </c>
      <c r="H55">
        <v>3460</v>
      </c>
      <c r="I55">
        <v>76120</v>
      </c>
    </row>
    <row r="56" spans="1:9" x14ac:dyDescent="0.2">
      <c r="A56" s="2">
        <v>45582</v>
      </c>
      <c r="B56" t="s">
        <v>100</v>
      </c>
      <c r="C56" t="s">
        <v>171</v>
      </c>
      <c r="D56" t="s">
        <v>153</v>
      </c>
      <c r="E56" t="s">
        <v>12</v>
      </c>
      <c r="F56" t="s">
        <v>172</v>
      </c>
      <c r="G56">
        <v>5</v>
      </c>
      <c r="H56">
        <v>21190</v>
      </c>
      <c r="I56">
        <v>105950</v>
      </c>
    </row>
    <row r="57" spans="1:9" x14ac:dyDescent="0.2">
      <c r="A57" s="2">
        <v>45740</v>
      </c>
      <c r="B57" t="s">
        <v>14</v>
      </c>
      <c r="C57" t="s">
        <v>20</v>
      </c>
      <c r="D57" t="s">
        <v>173</v>
      </c>
      <c r="E57" t="s">
        <v>31</v>
      </c>
      <c r="F57" t="s">
        <v>45</v>
      </c>
      <c r="G57">
        <v>16</v>
      </c>
      <c r="H57">
        <v>16486</v>
      </c>
      <c r="I57">
        <v>263776</v>
      </c>
    </row>
    <row r="58" spans="1:9" x14ac:dyDescent="0.2">
      <c r="A58" s="2">
        <v>45736</v>
      </c>
      <c r="B58" t="s">
        <v>174</v>
      </c>
      <c r="C58" t="s">
        <v>175</v>
      </c>
      <c r="D58" t="s">
        <v>176</v>
      </c>
      <c r="E58" t="s">
        <v>56</v>
      </c>
      <c r="F58" t="s">
        <v>110</v>
      </c>
      <c r="G58">
        <v>14</v>
      </c>
      <c r="H58">
        <v>4976</v>
      </c>
      <c r="I58">
        <v>69664</v>
      </c>
    </row>
    <row r="59" spans="1:9" x14ac:dyDescent="0.2">
      <c r="A59" s="2">
        <v>45480</v>
      </c>
      <c r="B59" t="s">
        <v>177</v>
      </c>
      <c r="C59" t="s">
        <v>34</v>
      </c>
      <c r="D59" t="s">
        <v>178</v>
      </c>
      <c r="E59" t="s">
        <v>179</v>
      </c>
      <c r="F59" t="s">
        <v>45</v>
      </c>
      <c r="G59">
        <v>15</v>
      </c>
      <c r="H59">
        <v>8985</v>
      </c>
      <c r="I59">
        <v>134775</v>
      </c>
    </row>
    <row r="60" spans="1:9" x14ac:dyDescent="0.2">
      <c r="A60" s="2">
        <v>45514</v>
      </c>
      <c r="B60" t="s">
        <v>180</v>
      </c>
      <c r="C60" t="s">
        <v>126</v>
      </c>
      <c r="D60" t="s">
        <v>181</v>
      </c>
      <c r="E60" t="s">
        <v>81</v>
      </c>
      <c r="F60" t="s">
        <v>182</v>
      </c>
      <c r="G60">
        <v>25</v>
      </c>
      <c r="H60">
        <v>6166</v>
      </c>
      <c r="I60">
        <v>154150</v>
      </c>
    </row>
    <row r="61" spans="1:9" x14ac:dyDescent="0.2">
      <c r="A61" s="2">
        <v>45621</v>
      </c>
      <c r="B61" t="s">
        <v>9</v>
      </c>
      <c r="C61" t="s">
        <v>162</v>
      </c>
      <c r="D61" t="s">
        <v>155</v>
      </c>
      <c r="E61" t="s">
        <v>183</v>
      </c>
      <c r="F61" t="s">
        <v>184</v>
      </c>
      <c r="G61">
        <v>25</v>
      </c>
      <c r="H61">
        <v>19939</v>
      </c>
      <c r="I61">
        <v>498475</v>
      </c>
    </row>
    <row r="62" spans="1:9" x14ac:dyDescent="0.2">
      <c r="A62" s="2">
        <v>45714</v>
      </c>
      <c r="B62" t="s">
        <v>185</v>
      </c>
      <c r="C62" t="s">
        <v>38</v>
      </c>
      <c r="D62" t="s">
        <v>55</v>
      </c>
      <c r="E62" t="s">
        <v>40</v>
      </c>
      <c r="F62" t="s">
        <v>186</v>
      </c>
      <c r="G62">
        <v>15</v>
      </c>
      <c r="H62">
        <v>13233</v>
      </c>
      <c r="I62">
        <v>198495</v>
      </c>
    </row>
    <row r="63" spans="1:9" x14ac:dyDescent="0.2">
      <c r="A63" s="2">
        <v>45577</v>
      </c>
      <c r="B63" t="s">
        <v>33</v>
      </c>
      <c r="C63" t="s">
        <v>15</v>
      </c>
      <c r="D63" t="s">
        <v>142</v>
      </c>
      <c r="E63" t="s">
        <v>56</v>
      </c>
      <c r="F63" t="s">
        <v>89</v>
      </c>
      <c r="G63">
        <v>14</v>
      </c>
      <c r="H63">
        <v>23625</v>
      </c>
      <c r="I63">
        <v>330750</v>
      </c>
    </row>
    <row r="64" spans="1:9" x14ac:dyDescent="0.2">
      <c r="A64" s="2">
        <v>45656</v>
      </c>
      <c r="B64" t="s">
        <v>138</v>
      </c>
      <c r="C64" t="s">
        <v>126</v>
      </c>
      <c r="D64" t="s">
        <v>142</v>
      </c>
      <c r="E64" t="s">
        <v>78</v>
      </c>
      <c r="F64" t="s">
        <v>22</v>
      </c>
      <c r="G64">
        <v>3</v>
      </c>
      <c r="H64">
        <v>21861</v>
      </c>
      <c r="I64">
        <v>65583</v>
      </c>
    </row>
    <row r="65" spans="1:9" x14ac:dyDescent="0.2">
      <c r="A65" s="2">
        <v>45386</v>
      </c>
      <c r="B65" t="s">
        <v>131</v>
      </c>
      <c r="C65" t="s">
        <v>119</v>
      </c>
      <c r="D65" t="s">
        <v>176</v>
      </c>
      <c r="E65" t="s">
        <v>40</v>
      </c>
      <c r="F65" t="s">
        <v>22</v>
      </c>
      <c r="G65">
        <v>11</v>
      </c>
      <c r="H65">
        <v>3121</v>
      </c>
      <c r="I65">
        <v>34331</v>
      </c>
    </row>
    <row r="66" spans="1:9" x14ac:dyDescent="0.2">
      <c r="A66" s="2">
        <v>45560</v>
      </c>
      <c r="B66" t="s">
        <v>111</v>
      </c>
      <c r="C66" t="s">
        <v>119</v>
      </c>
      <c r="D66" t="s">
        <v>153</v>
      </c>
      <c r="E66" t="s">
        <v>44</v>
      </c>
      <c r="F66" t="s">
        <v>97</v>
      </c>
      <c r="G66">
        <v>1</v>
      </c>
      <c r="H66">
        <v>14564</v>
      </c>
      <c r="I66">
        <v>14564</v>
      </c>
    </row>
    <row r="67" spans="1:9" x14ac:dyDescent="0.2">
      <c r="A67" s="2">
        <v>45609</v>
      </c>
      <c r="B67" t="s">
        <v>187</v>
      </c>
      <c r="C67" t="s">
        <v>91</v>
      </c>
      <c r="D67" t="s">
        <v>173</v>
      </c>
      <c r="E67" t="s">
        <v>31</v>
      </c>
      <c r="F67" t="s">
        <v>32</v>
      </c>
      <c r="G67">
        <v>17</v>
      </c>
      <c r="H67">
        <v>22553</v>
      </c>
      <c r="I67">
        <v>383401</v>
      </c>
    </row>
    <row r="68" spans="1:9" x14ac:dyDescent="0.2">
      <c r="A68" s="2">
        <v>45654</v>
      </c>
      <c r="B68" t="s">
        <v>138</v>
      </c>
      <c r="C68" t="s">
        <v>121</v>
      </c>
      <c r="D68" t="s">
        <v>188</v>
      </c>
      <c r="E68" t="s">
        <v>81</v>
      </c>
      <c r="F68" t="s">
        <v>189</v>
      </c>
      <c r="G68">
        <v>18</v>
      </c>
      <c r="H68">
        <v>15411</v>
      </c>
      <c r="I68">
        <v>277398</v>
      </c>
    </row>
    <row r="69" spans="1:9" x14ac:dyDescent="0.2">
      <c r="A69" s="2">
        <v>45654</v>
      </c>
      <c r="B69" t="s">
        <v>70</v>
      </c>
      <c r="C69" t="s">
        <v>190</v>
      </c>
      <c r="D69" t="s">
        <v>191</v>
      </c>
      <c r="E69" t="s">
        <v>26</v>
      </c>
      <c r="F69" t="s">
        <v>27</v>
      </c>
      <c r="G69">
        <v>3</v>
      </c>
      <c r="H69">
        <v>20771</v>
      </c>
      <c r="I69">
        <v>62313</v>
      </c>
    </row>
    <row r="70" spans="1:9" x14ac:dyDescent="0.2">
      <c r="A70" s="2">
        <v>45481</v>
      </c>
      <c r="B70" t="s">
        <v>192</v>
      </c>
      <c r="C70" t="s">
        <v>115</v>
      </c>
      <c r="D70" t="s">
        <v>154</v>
      </c>
      <c r="E70" t="s">
        <v>44</v>
      </c>
      <c r="F70" t="s">
        <v>193</v>
      </c>
      <c r="G70">
        <v>12</v>
      </c>
      <c r="H70">
        <v>21820</v>
      </c>
      <c r="I70">
        <v>261840</v>
      </c>
    </row>
    <row r="71" spans="1:9" x14ac:dyDescent="0.2">
      <c r="A71" s="2">
        <v>45518</v>
      </c>
      <c r="B71" t="s">
        <v>194</v>
      </c>
      <c r="C71" t="s">
        <v>91</v>
      </c>
      <c r="D71" t="s">
        <v>195</v>
      </c>
      <c r="E71" t="s">
        <v>31</v>
      </c>
      <c r="F71" t="s">
        <v>106</v>
      </c>
      <c r="G71">
        <v>3</v>
      </c>
      <c r="H71">
        <v>18889</v>
      </c>
      <c r="I71">
        <v>56667</v>
      </c>
    </row>
    <row r="72" spans="1:9" x14ac:dyDescent="0.2">
      <c r="A72" s="2">
        <v>45512</v>
      </c>
      <c r="B72" t="s">
        <v>37</v>
      </c>
      <c r="C72" t="s">
        <v>196</v>
      </c>
      <c r="D72" t="s">
        <v>197</v>
      </c>
      <c r="E72" t="s">
        <v>31</v>
      </c>
      <c r="F72" t="s">
        <v>85</v>
      </c>
      <c r="G72">
        <v>12</v>
      </c>
      <c r="H72">
        <v>8147</v>
      </c>
      <c r="I72">
        <v>97764</v>
      </c>
    </row>
    <row r="73" spans="1:9" x14ac:dyDescent="0.2">
      <c r="A73" s="2">
        <v>45484</v>
      </c>
      <c r="B73" t="s">
        <v>19</v>
      </c>
      <c r="C73" t="s">
        <v>24</v>
      </c>
      <c r="D73" t="s">
        <v>198</v>
      </c>
      <c r="E73" t="s">
        <v>78</v>
      </c>
      <c r="F73" t="s">
        <v>199</v>
      </c>
      <c r="G73">
        <v>19</v>
      </c>
      <c r="H73">
        <v>2145</v>
      </c>
      <c r="I73">
        <v>40755</v>
      </c>
    </row>
    <row r="74" spans="1:9" x14ac:dyDescent="0.2">
      <c r="A74" s="2">
        <v>45724</v>
      </c>
      <c r="B74" t="s">
        <v>200</v>
      </c>
      <c r="C74" t="s">
        <v>134</v>
      </c>
      <c r="D74" t="s">
        <v>125</v>
      </c>
      <c r="E74" t="s">
        <v>31</v>
      </c>
      <c r="F74" t="s">
        <v>201</v>
      </c>
      <c r="G74">
        <v>8</v>
      </c>
      <c r="H74">
        <v>6124</v>
      </c>
      <c r="I74">
        <v>48992</v>
      </c>
    </row>
    <row r="75" spans="1:9" x14ac:dyDescent="0.2">
      <c r="A75" s="2">
        <v>45660</v>
      </c>
      <c r="B75" t="s">
        <v>202</v>
      </c>
      <c r="C75" t="s">
        <v>203</v>
      </c>
      <c r="D75" t="s">
        <v>204</v>
      </c>
      <c r="E75" t="s">
        <v>101</v>
      </c>
      <c r="F75" t="s">
        <v>205</v>
      </c>
      <c r="G75">
        <v>17</v>
      </c>
      <c r="H75">
        <v>18203</v>
      </c>
      <c r="I75">
        <v>309451</v>
      </c>
    </row>
    <row r="76" spans="1:9" x14ac:dyDescent="0.2">
      <c r="A76" s="2">
        <v>45667</v>
      </c>
      <c r="B76" t="s">
        <v>131</v>
      </c>
      <c r="C76" t="s">
        <v>206</v>
      </c>
      <c r="D76" t="s">
        <v>207</v>
      </c>
      <c r="E76" t="s">
        <v>12</v>
      </c>
      <c r="F76" t="s">
        <v>117</v>
      </c>
      <c r="G76">
        <v>2</v>
      </c>
      <c r="H76">
        <v>19778</v>
      </c>
      <c r="I76">
        <v>39556</v>
      </c>
    </row>
    <row r="77" spans="1:9" x14ac:dyDescent="0.2">
      <c r="A77" s="2">
        <v>45657</v>
      </c>
      <c r="B77" t="s">
        <v>131</v>
      </c>
      <c r="C77" t="s">
        <v>47</v>
      </c>
      <c r="D77" t="s">
        <v>198</v>
      </c>
      <c r="E77" t="s">
        <v>101</v>
      </c>
      <c r="F77" t="s">
        <v>193</v>
      </c>
      <c r="G77">
        <v>24</v>
      </c>
      <c r="H77">
        <v>20119</v>
      </c>
      <c r="I77">
        <v>482856</v>
      </c>
    </row>
    <row r="78" spans="1:9" x14ac:dyDescent="0.2">
      <c r="A78" s="2">
        <v>45531</v>
      </c>
      <c r="B78" t="s">
        <v>14</v>
      </c>
      <c r="C78" t="s">
        <v>134</v>
      </c>
      <c r="D78" t="s">
        <v>16</v>
      </c>
      <c r="E78" t="s">
        <v>40</v>
      </c>
      <c r="F78" t="s">
        <v>193</v>
      </c>
      <c r="G78">
        <v>15</v>
      </c>
      <c r="H78">
        <v>21630</v>
      </c>
      <c r="I78">
        <v>324450</v>
      </c>
    </row>
    <row r="79" spans="1:9" x14ac:dyDescent="0.2">
      <c r="A79" s="2">
        <v>45666</v>
      </c>
      <c r="B79" t="s">
        <v>192</v>
      </c>
      <c r="C79" t="s">
        <v>156</v>
      </c>
      <c r="D79" t="s">
        <v>208</v>
      </c>
      <c r="E79" t="s">
        <v>40</v>
      </c>
      <c r="F79" t="s">
        <v>36</v>
      </c>
      <c r="G79">
        <v>23</v>
      </c>
      <c r="H79">
        <v>12035</v>
      </c>
      <c r="I79">
        <v>276805</v>
      </c>
    </row>
    <row r="80" spans="1:9" x14ac:dyDescent="0.2">
      <c r="A80" s="2">
        <v>45631</v>
      </c>
      <c r="B80" t="s">
        <v>53</v>
      </c>
      <c r="C80" t="s">
        <v>115</v>
      </c>
      <c r="D80" t="s">
        <v>109</v>
      </c>
      <c r="E80" t="s">
        <v>31</v>
      </c>
      <c r="F80" t="s">
        <v>74</v>
      </c>
      <c r="G80">
        <v>8</v>
      </c>
      <c r="H80">
        <v>9703</v>
      </c>
      <c r="I80">
        <v>77624</v>
      </c>
    </row>
    <row r="81" spans="1:9" x14ac:dyDescent="0.2">
      <c r="A81" s="2">
        <v>45542</v>
      </c>
      <c r="B81" t="s">
        <v>192</v>
      </c>
      <c r="C81" t="s">
        <v>98</v>
      </c>
      <c r="D81" t="s">
        <v>209</v>
      </c>
      <c r="E81" t="s">
        <v>40</v>
      </c>
      <c r="F81" t="s">
        <v>106</v>
      </c>
      <c r="G81">
        <v>13</v>
      </c>
      <c r="H81">
        <v>24229</v>
      </c>
      <c r="I81">
        <v>314977</v>
      </c>
    </row>
    <row r="82" spans="1:9" x14ac:dyDescent="0.2">
      <c r="A82" s="2">
        <v>45544</v>
      </c>
      <c r="B82" t="s">
        <v>210</v>
      </c>
      <c r="C82" t="s">
        <v>79</v>
      </c>
      <c r="D82" t="s">
        <v>147</v>
      </c>
      <c r="E82" t="s">
        <v>211</v>
      </c>
      <c r="F82" t="s">
        <v>85</v>
      </c>
      <c r="G82">
        <v>22</v>
      </c>
      <c r="H82">
        <v>18579</v>
      </c>
      <c r="I82">
        <v>408738</v>
      </c>
    </row>
    <row r="83" spans="1:9" x14ac:dyDescent="0.2">
      <c r="A83" s="2">
        <v>45624</v>
      </c>
      <c r="B83" t="s">
        <v>169</v>
      </c>
      <c r="C83" t="s">
        <v>139</v>
      </c>
      <c r="D83" t="s">
        <v>173</v>
      </c>
      <c r="E83" t="s">
        <v>31</v>
      </c>
      <c r="F83" t="s">
        <v>106</v>
      </c>
      <c r="G83">
        <v>7</v>
      </c>
      <c r="H83">
        <v>20440</v>
      </c>
      <c r="I83">
        <v>143080</v>
      </c>
    </row>
    <row r="84" spans="1:9" x14ac:dyDescent="0.2">
      <c r="A84" s="2">
        <v>45569</v>
      </c>
      <c r="B84" t="s">
        <v>212</v>
      </c>
      <c r="C84" t="s">
        <v>38</v>
      </c>
      <c r="D84" t="s">
        <v>213</v>
      </c>
      <c r="E84" t="s">
        <v>78</v>
      </c>
      <c r="F84" t="s">
        <v>214</v>
      </c>
      <c r="G84">
        <v>23</v>
      </c>
      <c r="H84">
        <v>23198</v>
      </c>
      <c r="I84">
        <v>533554</v>
      </c>
    </row>
    <row r="85" spans="1:9" x14ac:dyDescent="0.2">
      <c r="A85" s="2">
        <v>45658</v>
      </c>
      <c r="B85" t="s">
        <v>75</v>
      </c>
      <c r="C85" t="s">
        <v>79</v>
      </c>
      <c r="D85" t="s">
        <v>215</v>
      </c>
      <c r="E85" t="s">
        <v>179</v>
      </c>
      <c r="F85" t="s">
        <v>106</v>
      </c>
      <c r="G85">
        <v>12</v>
      </c>
      <c r="H85">
        <v>7986</v>
      </c>
      <c r="I85">
        <v>95832</v>
      </c>
    </row>
    <row r="86" spans="1:9" x14ac:dyDescent="0.2">
      <c r="A86" s="2">
        <v>45605</v>
      </c>
      <c r="B86" t="s">
        <v>159</v>
      </c>
      <c r="C86" t="s">
        <v>190</v>
      </c>
      <c r="D86" t="s">
        <v>92</v>
      </c>
      <c r="E86" t="s">
        <v>40</v>
      </c>
      <c r="F86" t="s">
        <v>216</v>
      </c>
      <c r="G86">
        <v>1</v>
      </c>
      <c r="H86">
        <v>2307</v>
      </c>
      <c r="I86">
        <v>2307</v>
      </c>
    </row>
    <row r="87" spans="1:9" x14ac:dyDescent="0.2">
      <c r="A87" s="2">
        <v>45525</v>
      </c>
      <c r="B87" t="s">
        <v>62</v>
      </c>
      <c r="C87" t="s">
        <v>217</v>
      </c>
      <c r="D87" t="s">
        <v>218</v>
      </c>
      <c r="E87" t="s">
        <v>31</v>
      </c>
      <c r="F87" t="s">
        <v>74</v>
      </c>
      <c r="G87">
        <v>5</v>
      </c>
      <c r="H87">
        <v>7855</v>
      </c>
      <c r="I87">
        <v>39275</v>
      </c>
    </row>
    <row r="88" spans="1:9" x14ac:dyDescent="0.2">
      <c r="A88" s="2">
        <v>45557</v>
      </c>
      <c r="B88" t="s">
        <v>177</v>
      </c>
      <c r="C88" t="s">
        <v>219</v>
      </c>
      <c r="D88" t="s">
        <v>143</v>
      </c>
      <c r="E88" t="s">
        <v>31</v>
      </c>
      <c r="F88" t="s">
        <v>172</v>
      </c>
      <c r="G88">
        <v>1</v>
      </c>
      <c r="H88">
        <v>24461</v>
      </c>
      <c r="I88">
        <v>24461</v>
      </c>
    </row>
    <row r="89" spans="1:9" x14ac:dyDescent="0.2">
      <c r="A89" s="2">
        <v>45597</v>
      </c>
      <c r="B89" t="s">
        <v>82</v>
      </c>
      <c r="C89" t="s">
        <v>136</v>
      </c>
      <c r="D89" t="s">
        <v>220</v>
      </c>
      <c r="E89" t="s">
        <v>179</v>
      </c>
      <c r="F89" t="s">
        <v>13</v>
      </c>
      <c r="G89">
        <v>9</v>
      </c>
      <c r="H89">
        <v>13769</v>
      </c>
      <c r="I89">
        <v>123921</v>
      </c>
    </row>
    <row r="90" spans="1:9" x14ac:dyDescent="0.2">
      <c r="A90" s="2">
        <v>45738</v>
      </c>
      <c r="B90" t="s">
        <v>221</v>
      </c>
      <c r="C90" t="s">
        <v>134</v>
      </c>
      <c r="D90" t="s">
        <v>222</v>
      </c>
      <c r="E90" t="s">
        <v>223</v>
      </c>
      <c r="F90" t="s">
        <v>61</v>
      </c>
      <c r="G90">
        <v>11</v>
      </c>
      <c r="H90">
        <v>18580</v>
      </c>
      <c r="I90">
        <v>204380</v>
      </c>
    </row>
    <row r="91" spans="1:9" x14ac:dyDescent="0.2">
      <c r="A91" s="2">
        <v>45682</v>
      </c>
      <c r="B91" t="s">
        <v>224</v>
      </c>
      <c r="C91" t="s">
        <v>225</v>
      </c>
      <c r="D91" t="s">
        <v>226</v>
      </c>
      <c r="E91" t="s">
        <v>183</v>
      </c>
      <c r="F91" t="s">
        <v>205</v>
      </c>
      <c r="G91">
        <v>12</v>
      </c>
      <c r="H91">
        <v>14180</v>
      </c>
      <c r="I91">
        <v>170160</v>
      </c>
    </row>
    <row r="92" spans="1:9" x14ac:dyDescent="0.2">
      <c r="A92" s="2">
        <v>45533</v>
      </c>
      <c r="B92" t="s">
        <v>23</v>
      </c>
      <c r="C92" t="s">
        <v>115</v>
      </c>
      <c r="D92" t="s">
        <v>227</v>
      </c>
      <c r="E92" t="s">
        <v>12</v>
      </c>
      <c r="F92" t="s">
        <v>22</v>
      </c>
      <c r="G92">
        <v>22</v>
      </c>
      <c r="H92">
        <v>8267</v>
      </c>
      <c r="I92">
        <v>181874</v>
      </c>
    </row>
    <row r="93" spans="1:9" x14ac:dyDescent="0.2">
      <c r="A93" s="2">
        <v>45654</v>
      </c>
      <c r="B93" t="s">
        <v>194</v>
      </c>
      <c r="C93" t="s">
        <v>136</v>
      </c>
      <c r="D93" t="s">
        <v>228</v>
      </c>
      <c r="E93" t="s">
        <v>179</v>
      </c>
      <c r="F93" t="s">
        <v>102</v>
      </c>
      <c r="G93">
        <v>23</v>
      </c>
      <c r="H93">
        <v>15668</v>
      </c>
      <c r="I93">
        <v>360364</v>
      </c>
    </row>
    <row r="94" spans="1:9" x14ac:dyDescent="0.2">
      <c r="A94" s="2">
        <v>45384</v>
      </c>
      <c r="B94" t="s">
        <v>33</v>
      </c>
      <c r="C94" t="s">
        <v>144</v>
      </c>
      <c r="D94" t="s">
        <v>153</v>
      </c>
      <c r="E94" t="s">
        <v>179</v>
      </c>
      <c r="F94" t="s">
        <v>57</v>
      </c>
      <c r="G94">
        <v>5</v>
      </c>
      <c r="H94">
        <v>15432</v>
      </c>
      <c r="I94">
        <v>77160</v>
      </c>
    </row>
    <row r="95" spans="1:9" x14ac:dyDescent="0.2">
      <c r="A95" s="2">
        <v>45685</v>
      </c>
      <c r="B95" t="s">
        <v>107</v>
      </c>
      <c r="C95" t="s">
        <v>119</v>
      </c>
      <c r="D95" t="s">
        <v>229</v>
      </c>
      <c r="E95" t="s">
        <v>12</v>
      </c>
      <c r="F95" t="s">
        <v>57</v>
      </c>
      <c r="G95">
        <v>1</v>
      </c>
      <c r="H95">
        <v>24473</v>
      </c>
      <c r="I95">
        <v>24473</v>
      </c>
    </row>
    <row r="96" spans="1:9" x14ac:dyDescent="0.2">
      <c r="A96" s="2">
        <v>45643</v>
      </c>
      <c r="B96" t="s">
        <v>169</v>
      </c>
      <c r="C96" t="s">
        <v>230</v>
      </c>
      <c r="D96" t="s">
        <v>231</v>
      </c>
      <c r="E96" t="s">
        <v>211</v>
      </c>
      <c r="F96" t="s">
        <v>232</v>
      </c>
      <c r="G96">
        <v>4</v>
      </c>
      <c r="H96">
        <v>9359</v>
      </c>
      <c r="I96">
        <v>37436</v>
      </c>
    </row>
    <row r="97" spans="1:9" x14ac:dyDescent="0.2">
      <c r="A97" s="2">
        <v>45473</v>
      </c>
      <c r="B97" t="s">
        <v>233</v>
      </c>
      <c r="C97" t="s">
        <v>234</v>
      </c>
      <c r="D97" t="s">
        <v>235</v>
      </c>
      <c r="E97" t="s">
        <v>44</v>
      </c>
      <c r="F97" t="s">
        <v>189</v>
      </c>
      <c r="G97">
        <v>22</v>
      </c>
      <c r="H97">
        <v>24886</v>
      </c>
      <c r="I97">
        <v>547492</v>
      </c>
    </row>
    <row r="98" spans="1:9" x14ac:dyDescent="0.2">
      <c r="A98" s="2">
        <v>45651</v>
      </c>
      <c r="B98" t="s">
        <v>23</v>
      </c>
      <c r="C98" t="s">
        <v>10</v>
      </c>
      <c r="D98" t="s">
        <v>229</v>
      </c>
      <c r="E98" t="s">
        <v>26</v>
      </c>
      <c r="F98" t="s">
        <v>13</v>
      </c>
      <c r="G98">
        <v>12</v>
      </c>
      <c r="H98">
        <v>6679</v>
      </c>
      <c r="I98">
        <v>80148</v>
      </c>
    </row>
    <row r="99" spans="1:9" x14ac:dyDescent="0.2">
      <c r="A99" s="2">
        <v>45465</v>
      </c>
      <c r="B99" t="s">
        <v>177</v>
      </c>
      <c r="C99" t="s">
        <v>95</v>
      </c>
      <c r="D99" t="s">
        <v>236</v>
      </c>
      <c r="E99" t="s">
        <v>179</v>
      </c>
      <c r="F99" t="s">
        <v>85</v>
      </c>
      <c r="G99">
        <v>4</v>
      </c>
      <c r="H99">
        <v>3265</v>
      </c>
      <c r="I99">
        <v>13060</v>
      </c>
    </row>
    <row r="100" spans="1:9" x14ac:dyDescent="0.2">
      <c r="A100" s="2">
        <v>45744</v>
      </c>
      <c r="B100" t="s">
        <v>237</v>
      </c>
      <c r="C100" t="s">
        <v>47</v>
      </c>
      <c r="D100" t="s">
        <v>43</v>
      </c>
      <c r="E100" t="s">
        <v>12</v>
      </c>
      <c r="F100" t="s">
        <v>238</v>
      </c>
      <c r="G100">
        <v>5</v>
      </c>
      <c r="H100">
        <v>17259</v>
      </c>
      <c r="I100">
        <v>86295</v>
      </c>
    </row>
    <row r="101" spans="1:9" x14ac:dyDescent="0.2">
      <c r="A101" s="2">
        <v>45383</v>
      </c>
      <c r="B101" t="s">
        <v>82</v>
      </c>
      <c r="C101" t="s">
        <v>239</v>
      </c>
      <c r="D101" t="s">
        <v>220</v>
      </c>
      <c r="E101" t="s">
        <v>12</v>
      </c>
      <c r="F101" t="s">
        <v>240</v>
      </c>
      <c r="G101">
        <v>15</v>
      </c>
      <c r="H101">
        <v>15276</v>
      </c>
      <c r="I101">
        <v>229140</v>
      </c>
    </row>
    <row r="102" spans="1:9" x14ac:dyDescent="0.2">
      <c r="A102" s="2">
        <v>45513</v>
      </c>
      <c r="B102" t="s">
        <v>135</v>
      </c>
      <c r="C102" t="s">
        <v>15</v>
      </c>
      <c r="D102" t="s">
        <v>147</v>
      </c>
      <c r="E102" t="s">
        <v>26</v>
      </c>
      <c r="F102" t="s">
        <v>165</v>
      </c>
      <c r="G102">
        <v>22</v>
      </c>
      <c r="H102">
        <v>18710</v>
      </c>
      <c r="I102">
        <v>411620</v>
      </c>
    </row>
    <row r="103" spans="1:9" x14ac:dyDescent="0.2">
      <c r="A103" s="2">
        <v>45491</v>
      </c>
      <c r="B103" t="s">
        <v>166</v>
      </c>
      <c r="C103" t="s">
        <v>79</v>
      </c>
      <c r="D103" t="s">
        <v>154</v>
      </c>
      <c r="E103" t="s">
        <v>44</v>
      </c>
      <c r="F103" t="s">
        <v>193</v>
      </c>
      <c r="G103">
        <v>25</v>
      </c>
      <c r="H103">
        <v>14613</v>
      </c>
      <c r="I103">
        <v>365325</v>
      </c>
    </row>
    <row r="104" spans="1:9" x14ac:dyDescent="0.2">
      <c r="A104" s="2">
        <v>45553</v>
      </c>
      <c r="B104" t="s">
        <v>103</v>
      </c>
      <c r="C104" t="s">
        <v>190</v>
      </c>
      <c r="D104" t="s">
        <v>231</v>
      </c>
      <c r="E104" t="s">
        <v>179</v>
      </c>
      <c r="F104" t="s">
        <v>102</v>
      </c>
      <c r="G104">
        <v>14</v>
      </c>
      <c r="H104">
        <v>23530</v>
      </c>
      <c r="I104">
        <v>329420</v>
      </c>
    </row>
    <row r="105" spans="1:9" x14ac:dyDescent="0.2">
      <c r="A105" s="2">
        <v>45491</v>
      </c>
      <c r="B105" t="s">
        <v>111</v>
      </c>
      <c r="C105" t="s">
        <v>24</v>
      </c>
      <c r="D105" t="s">
        <v>241</v>
      </c>
      <c r="E105" t="s">
        <v>179</v>
      </c>
      <c r="F105" t="s">
        <v>193</v>
      </c>
      <c r="G105">
        <v>18</v>
      </c>
      <c r="H105">
        <v>1132</v>
      </c>
      <c r="I105">
        <v>20376</v>
      </c>
    </row>
    <row r="106" spans="1:9" x14ac:dyDescent="0.2">
      <c r="A106" s="2">
        <v>45418</v>
      </c>
      <c r="B106" t="s">
        <v>242</v>
      </c>
      <c r="C106" t="s">
        <v>190</v>
      </c>
      <c r="D106" t="s">
        <v>125</v>
      </c>
      <c r="E106" t="s">
        <v>73</v>
      </c>
      <c r="F106" t="s">
        <v>172</v>
      </c>
      <c r="G106">
        <v>18</v>
      </c>
      <c r="H106">
        <v>23853</v>
      </c>
      <c r="I106">
        <v>429354</v>
      </c>
    </row>
    <row r="107" spans="1:9" x14ac:dyDescent="0.2">
      <c r="A107" s="2">
        <v>45418</v>
      </c>
      <c r="B107" t="s">
        <v>111</v>
      </c>
      <c r="C107" t="s">
        <v>119</v>
      </c>
      <c r="D107" t="s">
        <v>243</v>
      </c>
      <c r="E107" t="s">
        <v>26</v>
      </c>
      <c r="F107" t="s">
        <v>165</v>
      </c>
      <c r="G107">
        <v>17</v>
      </c>
      <c r="H107">
        <v>10934</v>
      </c>
      <c r="I107">
        <v>185878</v>
      </c>
    </row>
    <row r="108" spans="1:9" x14ac:dyDescent="0.2">
      <c r="A108" s="2">
        <v>45620</v>
      </c>
      <c r="B108" t="s">
        <v>123</v>
      </c>
      <c r="C108" t="s">
        <v>244</v>
      </c>
      <c r="D108" t="s">
        <v>220</v>
      </c>
      <c r="E108" t="s">
        <v>211</v>
      </c>
      <c r="F108" t="s">
        <v>240</v>
      </c>
      <c r="G108">
        <v>6</v>
      </c>
      <c r="H108">
        <v>16776</v>
      </c>
      <c r="I108">
        <v>100656</v>
      </c>
    </row>
    <row r="109" spans="1:9" x14ac:dyDescent="0.2">
      <c r="A109" s="2">
        <v>45404</v>
      </c>
      <c r="B109" t="s">
        <v>135</v>
      </c>
      <c r="C109" t="s">
        <v>217</v>
      </c>
      <c r="D109" t="s">
        <v>245</v>
      </c>
      <c r="E109" t="s">
        <v>81</v>
      </c>
      <c r="F109" t="s">
        <v>13</v>
      </c>
      <c r="G109">
        <v>22</v>
      </c>
      <c r="H109">
        <v>8976</v>
      </c>
      <c r="I109">
        <v>197472</v>
      </c>
    </row>
    <row r="110" spans="1:9" x14ac:dyDescent="0.2">
      <c r="A110" s="2">
        <v>45650</v>
      </c>
      <c r="B110" t="s">
        <v>246</v>
      </c>
      <c r="C110" t="s">
        <v>244</v>
      </c>
      <c r="D110" t="s">
        <v>191</v>
      </c>
      <c r="E110" t="s">
        <v>179</v>
      </c>
      <c r="F110" t="s">
        <v>172</v>
      </c>
      <c r="G110">
        <v>14</v>
      </c>
      <c r="H110">
        <v>24754</v>
      </c>
      <c r="I110">
        <v>346556</v>
      </c>
    </row>
    <row r="111" spans="1:9" x14ac:dyDescent="0.2">
      <c r="A111" s="2">
        <v>45740</v>
      </c>
      <c r="B111" t="s">
        <v>118</v>
      </c>
      <c r="C111" t="s">
        <v>175</v>
      </c>
      <c r="D111" t="s">
        <v>11</v>
      </c>
      <c r="E111" t="s">
        <v>44</v>
      </c>
      <c r="F111" t="s">
        <v>69</v>
      </c>
      <c r="G111">
        <v>23</v>
      </c>
      <c r="H111">
        <v>5989</v>
      </c>
      <c r="I111">
        <v>137747</v>
      </c>
    </row>
    <row r="112" spans="1:9" x14ac:dyDescent="0.2">
      <c r="A112" s="2">
        <v>45643</v>
      </c>
      <c r="B112" t="s">
        <v>49</v>
      </c>
      <c r="C112" t="s">
        <v>162</v>
      </c>
      <c r="D112" t="s">
        <v>68</v>
      </c>
      <c r="E112" t="s">
        <v>40</v>
      </c>
      <c r="F112" t="s">
        <v>102</v>
      </c>
      <c r="G112">
        <v>17</v>
      </c>
      <c r="H112">
        <v>9554</v>
      </c>
      <c r="I112">
        <v>162418</v>
      </c>
    </row>
    <row r="113" spans="1:9" x14ac:dyDescent="0.2">
      <c r="A113" s="2">
        <v>45513</v>
      </c>
      <c r="B113" t="s">
        <v>37</v>
      </c>
      <c r="C113" t="s">
        <v>121</v>
      </c>
      <c r="D113" t="s">
        <v>247</v>
      </c>
      <c r="E113" t="s">
        <v>17</v>
      </c>
      <c r="F113" t="s">
        <v>117</v>
      </c>
      <c r="G113">
        <v>12</v>
      </c>
      <c r="H113">
        <v>14932</v>
      </c>
      <c r="I113">
        <v>179184</v>
      </c>
    </row>
    <row r="114" spans="1:9" x14ac:dyDescent="0.2">
      <c r="A114" s="2">
        <v>45597</v>
      </c>
      <c r="B114" t="s">
        <v>131</v>
      </c>
      <c r="C114" t="s">
        <v>24</v>
      </c>
      <c r="D114" t="s">
        <v>195</v>
      </c>
      <c r="E114" t="s">
        <v>31</v>
      </c>
      <c r="F114" t="s">
        <v>248</v>
      </c>
      <c r="G114">
        <v>16</v>
      </c>
      <c r="H114">
        <v>1751</v>
      </c>
      <c r="I114">
        <v>28016</v>
      </c>
    </row>
    <row r="115" spans="1:9" x14ac:dyDescent="0.2">
      <c r="A115" s="2">
        <v>45468</v>
      </c>
      <c r="B115" t="s">
        <v>53</v>
      </c>
      <c r="C115" t="s">
        <v>124</v>
      </c>
      <c r="D115" t="s">
        <v>88</v>
      </c>
      <c r="E115" t="s">
        <v>12</v>
      </c>
      <c r="F115" t="s">
        <v>249</v>
      </c>
      <c r="G115">
        <v>2</v>
      </c>
      <c r="H115">
        <v>6194</v>
      </c>
      <c r="I115">
        <v>12388</v>
      </c>
    </row>
    <row r="116" spans="1:9" x14ac:dyDescent="0.2">
      <c r="A116" s="2">
        <v>45549</v>
      </c>
      <c r="B116" t="s">
        <v>250</v>
      </c>
      <c r="C116" t="s">
        <v>234</v>
      </c>
      <c r="D116" t="s">
        <v>251</v>
      </c>
      <c r="E116" t="s">
        <v>56</v>
      </c>
      <c r="F116" t="s">
        <v>106</v>
      </c>
      <c r="G116">
        <v>5</v>
      </c>
      <c r="H116">
        <v>8801</v>
      </c>
      <c r="I116">
        <v>44005</v>
      </c>
    </row>
    <row r="117" spans="1:9" x14ac:dyDescent="0.2">
      <c r="A117" s="2">
        <v>45724</v>
      </c>
      <c r="B117" t="s">
        <v>62</v>
      </c>
      <c r="C117" t="s">
        <v>24</v>
      </c>
      <c r="D117" t="s">
        <v>241</v>
      </c>
      <c r="E117" t="s">
        <v>81</v>
      </c>
      <c r="F117" t="s">
        <v>110</v>
      </c>
      <c r="G117">
        <v>7</v>
      </c>
      <c r="H117">
        <v>14577</v>
      </c>
      <c r="I117">
        <v>102039</v>
      </c>
    </row>
    <row r="118" spans="1:9" x14ac:dyDescent="0.2">
      <c r="A118" s="2">
        <v>45707</v>
      </c>
      <c r="B118" t="s">
        <v>94</v>
      </c>
      <c r="C118" t="s">
        <v>24</v>
      </c>
      <c r="D118" t="s">
        <v>145</v>
      </c>
      <c r="E118" t="s">
        <v>179</v>
      </c>
      <c r="F118" t="s">
        <v>41</v>
      </c>
      <c r="G118">
        <v>7</v>
      </c>
      <c r="H118">
        <v>5628</v>
      </c>
      <c r="I118">
        <v>39396</v>
      </c>
    </row>
    <row r="119" spans="1:9" x14ac:dyDescent="0.2">
      <c r="A119" s="2">
        <v>45714</v>
      </c>
      <c r="B119" t="s">
        <v>33</v>
      </c>
      <c r="C119" t="s">
        <v>196</v>
      </c>
      <c r="D119" t="s">
        <v>72</v>
      </c>
      <c r="E119" t="s">
        <v>56</v>
      </c>
      <c r="F119" t="s">
        <v>165</v>
      </c>
      <c r="G119">
        <v>14</v>
      </c>
      <c r="H119">
        <v>16610</v>
      </c>
      <c r="I119">
        <v>232540</v>
      </c>
    </row>
    <row r="120" spans="1:9" x14ac:dyDescent="0.2">
      <c r="A120" s="2">
        <v>45589</v>
      </c>
      <c r="B120" t="s">
        <v>180</v>
      </c>
      <c r="C120" t="s">
        <v>112</v>
      </c>
      <c r="D120" t="s">
        <v>222</v>
      </c>
      <c r="E120" t="s">
        <v>252</v>
      </c>
      <c r="F120" t="s">
        <v>22</v>
      </c>
      <c r="G120">
        <v>20</v>
      </c>
      <c r="H120">
        <v>3486</v>
      </c>
      <c r="I120">
        <v>69720</v>
      </c>
    </row>
    <row r="121" spans="1:9" x14ac:dyDescent="0.2">
      <c r="A121" s="2">
        <v>45727</v>
      </c>
      <c r="B121" t="s">
        <v>253</v>
      </c>
      <c r="C121" t="s">
        <v>104</v>
      </c>
      <c r="D121" t="s">
        <v>254</v>
      </c>
      <c r="E121" t="s">
        <v>31</v>
      </c>
      <c r="F121" t="s">
        <v>182</v>
      </c>
      <c r="G121">
        <v>8</v>
      </c>
      <c r="H121">
        <v>7078</v>
      </c>
      <c r="I121">
        <v>56624</v>
      </c>
    </row>
    <row r="122" spans="1:9" x14ac:dyDescent="0.2">
      <c r="A122" s="2">
        <v>45613</v>
      </c>
      <c r="B122" t="s">
        <v>123</v>
      </c>
      <c r="C122" t="s">
        <v>38</v>
      </c>
      <c r="D122" t="s">
        <v>255</v>
      </c>
      <c r="E122" t="s">
        <v>211</v>
      </c>
      <c r="F122" t="s">
        <v>193</v>
      </c>
      <c r="G122">
        <v>23</v>
      </c>
      <c r="H122">
        <v>10064</v>
      </c>
      <c r="I122">
        <v>231472</v>
      </c>
    </row>
    <row r="123" spans="1:9" x14ac:dyDescent="0.2">
      <c r="A123" s="2">
        <v>45456</v>
      </c>
      <c r="B123" t="s">
        <v>90</v>
      </c>
      <c r="C123" t="s">
        <v>256</v>
      </c>
      <c r="D123" t="s">
        <v>99</v>
      </c>
      <c r="E123" t="s">
        <v>81</v>
      </c>
      <c r="F123" t="s">
        <v>57</v>
      </c>
      <c r="G123">
        <v>9</v>
      </c>
      <c r="H123">
        <v>11893</v>
      </c>
      <c r="I123">
        <v>107037</v>
      </c>
    </row>
    <row r="124" spans="1:9" x14ac:dyDescent="0.2">
      <c r="A124" s="2">
        <v>45729</v>
      </c>
      <c r="B124" t="s">
        <v>123</v>
      </c>
      <c r="C124" t="s">
        <v>257</v>
      </c>
      <c r="D124" t="s">
        <v>84</v>
      </c>
      <c r="E124" t="s">
        <v>73</v>
      </c>
      <c r="F124" t="s">
        <v>199</v>
      </c>
      <c r="G124">
        <v>7</v>
      </c>
      <c r="H124">
        <v>8423</v>
      </c>
      <c r="I124">
        <v>58961</v>
      </c>
    </row>
    <row r="125" spans="1:9" x14ac:dyDescent="0.2">
      <c r="A125" s="2">
        <v>45485</v>
      </c>
      <c r="B125" t="s">
        <v>192</v>
      </c>
      <c r="C125" t="s">
        <v>63</v>
      </c>
      <c r="D125" t="s">
        <v>220</v>
      </c>
      <c r="E125" t="s">
        <v>12</v>
      </c>
      <c r="F125" t="s">
        <v>41</v>
      </c>
      <c r="G125">
        <v>1</v>
      </c>
      <c r="H125">
        <v>22427</v>
      </c>
      <c r="I125">
        <v>22427</v>
      </c>
    </row>
    <row r="126" spans="1:9" x14ac:dyDescent="0.2">
      <c r="A126" s="2">
        <v>45418</v>
      </c>
      <c r="B126" t="s">
        <v>107</v>
      </c>
      <c r="C126" t="s">
        <v>196</v>
      </c>
      <c r="D126" t="s">
        <v>55</v>
      </c>
      <c r="E126" t="s">
        <v>56</v>
      </c>
      <c r="F126" t="s">
        <v>258</v>
      </c>
      <c r="G126">
        <v>9</v>
      </c>
      <c r="H126">
        <v>18090</v>
      </c>
      <c r="I126">
        <v>162810</v>
      </c>
    </row>
    <row r="127" spans="1:9" x14ac:dyDescent="0.2">
      <c r="A127" s="2">
        <v>45641</v>
      </c>
      <c r="B127" t="s">
        <v>194</v>
      </c>
      <c r="C127" t="s">
        <v>162</v>
      </c>
      <c r="D127" t="s">
        <v>259</v>
      </c>
      <c r="E127" t="s">
        <v>31</v>
      </c>
      <c r="F127" t="s">
        <v>41</v>
      </c>
      <c r="G127">
        <v>15</v>
      </c>
      <c r="H127">
        <v>20109</v>
      </c>
      <c r="I127">
        <v>301635</v>
      </c>
    </row>
    <row r="128" spans="1:9" x14ac:dyDescent="0.2">
      <c r="A128" s="2">
        <v>45715</v>
      </c>
      <c r="B128" t="s">
        <v>194</v>
      </c>
      <c r="C128" t="s">
        <v>47</v>
      </c>
      <c r="D128" t="s">
        <v>43</v>
      </c>
      <c r="E128" t="s">
        <v>12</v>
      </c>
      <c r="F128" t="s">
        <v>260</v>
      </c>
      <c r="G128">
        <v>8</v>
      </c>
      <c r="H128">
        <v>8162</v>
      </c>
      <c r="I128">
        <v>65296</v>
      </c>
    </row>
    <row r="129" spans="1:9" x14ac:dyDescent="0.2">
      <c r="A129" s="2">
        <v>45538</v>
      </c>
      <c r="B129" t="s">
        <v>19</v>
      </c>
      <c r="C129" t="s">
        <v>121</v>
      </c>
      <c r="D129" t="s">
        <v>198</v>
      </c>
      <c r="E129" t="s">
        <v>56</v>
      </c>
      <c r="F129" t="s">
        <v>261</v>
      </c>
      <c r="G129">
        <v>20</v>
      </c>
      <c r="H129">
        <v>20333</v>
      </c>
      <c r="I129">
        <v>406660</v>
      </c>
    </row>
    <row r="130" spans="1:9" x14ac:dyDescent="0.2">
      <c r="A130" s="2">
        <v>45537</v>
      </c>
      <c r="B130" t="s">
        <v>262</v>
      </c>
      <c r="C130" t="s">
        <v>263</v>
      </c>
      <c r="D130" t="s">
        <v>264</v>
      </c>
      <c r="E130" t="s">
        <v>101</v>
      </c>
      <c r="F130" t="s">
        <v>22</v>
      </c>
      <c r="G130">
        <v>18</v>
      </c>
      <c r="H130">
        <v>10372</v>
      </c>
      <c r="I130">
        <v>186696</v>
      </c>
    </row>
    <row r="131" spans="1:9" x14ac:dyDescent="0.2">
      <c r="A131" s="2">
        <v>45636</v>
      </c>
      <c r="B131" t="s">
        <v>100</v>
      </c>
      <c r="C131" t="s">
        <v>196</v>
      </c>
      <c r="D131" t="s">
        <v>215</v>
      </c>
      <c r="E131" t="s">
        <v>12</v>
      </c>
      <c r="F131" t="s">
        <v>22</v>
      </c>
      <c r="G131">
        <v>15</v>
      </c>
      <c r="H131">
        <v>3685</v>
      </c>
      <c r="I131">
        <v>55275</v>
      </c>
    </row>
    <row r="132" spans="1:9" x14ac:dyDescent="0.2">
      <c r="A132" s="2">
        <v>45633</v>
      </c>
      <c r="B132" t="s">
        <v>265</v>
      </c>
      <c r="C132" t="s">
        <v>87</v>
      </c>
      <c r="D132" t="s">
        <v>266</v>
      </c>
      <c r="E132" t="s">
        <v>31</v>
      </c>
      <c r="F132" t="s">
        <v>267</v>
      </c>
      <c r="G132">
        <v>14</v>
      </c>
      <c r="H132">
        <v>6571</v>
      </c>
      <c r="I132">
        <v>91994</v>
      </c>
    </row>
    <row r="133" spans="1:9" x14ac:dyDescent="0.2">
      <c r="A133" s="2">
        <v>45739</v>
      </c>
      <c r="B133" t="s">
        <v>159</v>
      </c>
      <c r="C133" t="s">
        <v>263</v>
      </c>
      <c r="D133" t="s">
        <v>268</v>
      </c>
      <c r="E133" t="s">
        <v>40</v>
      </c>
      <c r="F133" t="s">
        <v>102</v>
      </c>
      <c r="G133">
        <v>10</v>
      </c>
      <c r="H133">
        <v>13579</v>
      </c>
      <c r="I133">
        <v>135790</v>
      </c>
    </row>
    <row r="134" spans="1:9" x14ac:dyDescent="0.2">
      <c r="A134" s="2">
        <v>45542</v>
      </c>
      <c r="B134" t="s">
        <v>19</v>
      </c>
      <c r="C134" t="s">
        <v>42</v>
      </c>
      <c r="D134" t="s">
        <v>269</v>
      </c>
      <c r="E134" t="s">
        <v>252</v>
      </c>
      <c r="F134" t="s">
        <v>158</v>
      </c>
      <c r="G134">
        <v>15</v>
      </c>
      <c r="H134">
        <v>4649</v>
      </c>
      <c r="I134">
        <v>69735</v>
      </c>
    </row>
    <row r="135" spans="1:9" x14ac:dyDescent="0.2">
      <c r="A135" s="2">
        <v>45736</v>
      </c>
      <c r="B135" t="s">
        <v>242</v>
      </c>
      <c r="C135" t="s">
        <v>38</v>
      </c>
      <c r="D135" t="s">
        <v>43</v>
      </c>
      <c r="E135" t="s">
        <v>44</v>
      </c>
      <c r="F135" t="s">
        <v>184</v>
      </c>
      <c r="G135">
        <v>16</v>
      </c>
      <c r="H135">
        <v>4294</v>
      </c>
      <c r="I135">
        <v>68704</v>
      </c>
    </row>
    <row r="136" spans="1:9" x14ac:dyDescent="0.2">
      <c r="A136" s="2">
        <v>45505</v>
      </c>
      <c r="B136" t="s">
        <v>270</v>
      </c>
      <c r="C136" t="s">
        <v>59</v>
      </c>
      <c r="D136" t="s">
        <v>16</v>
      </c>
      <c r="E136" t="s">
        <v>56</v>
      </c>
      <c r="F136" t="s">
        <v>271</v>
      </c>
      <c r="G136">
        <v>24</v>
      </c>
      <c r="H136">
        <v>16724</v>
      </c>
      <c r="I136">
        <v>401376</v>
      </c>
    </row>
    <row r="137" spans="1:9" x14ac:dyDescent="0.2">
      <c r="A137" s="2">
        <v>45554</v>
      </c>
      <c r="B137" t="s">
        <v>14</v>
      </c>
      <c r="C137" t="s">
        <v>139</v>
      </c>
      <c r="D137" t="s">
        <v>120</v>
      </c>
      <c r="E137" t="s">
        <v>12</v>
      </c>
      <c r="F137" t="s">
        <v>201</v>
      </c>
      <c r="G137">
        <v>8</v>
      </c>
      <c r="H137">
        <v>13351</v>
      </c>
      <c r="I137">
        <v>106808</v>
      </c>
    </row>
    <row r="138" spans="1:9" x14ac:dyDescent="0.2">
      <c r="A138" s="2">
        <v>45463</v>
      </c>
      <c r="B138" t="s">
        <v>58</v>
      </c>
      <c r="C138" t="s">
        <v>115</v>
      </c>
      <c r="D138" t="s">
        <v>264</v>
      </c>
      <c r="E138" t="s">
        <v>78</v>
      </c>
      <c r="F138" t="s">
        <v>267</v>
      </c>
      <c r="G138">
        <v>1</v>
      </c>
      <c r="H138">
        <v>14186</v>
      </c>
      <c r="I138">
        <v>14186</v>
      </c>
    </row>
    <row r="139" spans="1:9" x14ac:dyDescent="0.2">
      <c r="A139" s="2">
        <v>45453</v>
      </c>
      <c r="B139" t="s">
        <v>123</v>
      </c>
      <c r="C139" t="s">
        <v>91</v>
      </c>
      <c r="D139" t="s">
        <v>151</v>
      </c>
      <c r="E139" t="s">
        <v>44</v>
      </c>
      <c r="F139" t="s">
        <v>110</v>
      </c>
      <c r="G139">
        <v>21</v>
      </c>
      <c r="H139">
        <v>6042</v>
      </c>
      <c r="I139">
        <v>126882</v>
      </c>
    </row>
    <row r="140" spans="1:9" x14ac:dyDescent="0.2">
      <c r="A140" s="2">
        <v>45647</v>
      </c>
      <c r="B140" t="s">
        <v>9</v>
      </c>
      <c r="C140" t="s">
        <v>79</v>
      </c>
      <c r="D140" t="s">
        <v>272</v>
      </c>
      <c r="E140" t="s">
        <v>101</v>
      </c>
      <c r="F140" t="s">
        <v>172</v>
      </c>
      <c r="G140">
        <v>18</v>
      </c>
      <c r="H140">
        <v>8674</v>
      </c>
      <c r="I140">
        <v>156132</v>
      </c>
    </row>
    <row r="141" spans="1:9" x14ac:dyDescent="0.2">
      <c r="A141" s="2">
        <v>45588</v>
      </c>
      <c r="B141" t="s">
        <v>270</v>
      </c>
      <c r="C141" t="s">
        <v>20</v>
      </c>
      <c r="D141" t="s">
        <v>11</v>
      </c>
      <c r="E141" t="s">
        <v>179</v>
      </c>
      <c r="F141" t="s">
        <v>267</v>
      </c>
      <c r="G141">
        <v>5</v>
      </c>
      <c r="H141">
        <v>19243</v>
      </c>
      <c r="I141">
        <v>96215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41"/>
  <sheetViews>
    <sheetView workbookViewId="0">
      <selection activeCell="C10" sqref="C10"/>
    </sheetView>
  </sheetViews>
  <sheetFormatPr baseColWidth="10" defaultColWidth="8.83203125" defaultRowHeight="15" x14ac:dyDescent="0.2"/>
  <cols>
    <col min="1" max="1" width="12.5" bestFit="1" customWidth="1"/>
    <col min="2" max="2" width="14.1640625" bestFit="1" customWidth="1"/>
    <col min="3" max="3" width="16.33203125" bestFit="1" customWidth="1"/>
    <col min="4" max="4" width="11.83203125" customWidth="1"/>
    <col min="5" max="5" width="15.6640625" customWidth="1"/>
    <col min="6" max="6" width="9.83203125" bestFit="1" customWidth="1"/>
    <col min="7" max="7" width="12.33203125" bestFit="1" customWidth="1"/>
    <col min="8" max="8" width="13.1640625" bestFit="1" customWidth="1"/>
    <col min="9" max="9" width="10" bestFit="1" customWidth="1"/>
  </cols>
  <sheetData>
    <row r="1" spans="1:9" x14ac:dyDescent="0.2">
      <c r="A1" s="4" t="s">
        <v>0</v>
      </c>
      <c r="B1" s="4" t="s">
        <v>273</v>
      </c>
      <c r="C1" s="4" t="s">
        <v>3</v>
      </c>
      <c r="D1" s="4" t="s">
        <v>4</v>
      </c>
      <c r="E1" s="4" t="s">
        <v>5</v>
      </c>
      <c r="F1" s="4" t="s">
        <v>6</v>
      </c>
      <c r="G1" s="4" t="s">
        <v>7</v>
      </c>
      <c r="H1" s="4" t="s">
        <v>8</v>
      </c>
      <c r="I1" s="29" t="s">
        <v>366</v>
      </c>
    </row>
    <row r="2" spans="1:9" x14ac:dyDescent="0.2">
      <c r="A2" s="3">
        <v>45377</v>
      </c>
      <c r="B2" t="s">
        <v>274</v>
      </c>
      <c r="C2" t="s">
        <v>229</v>
      </c>
      <c r="D2" t="s">
        <v>12</v>
      </c>
      <c r="E2" t="s">
        <v>41</v>
      </c>
      <c r="F2">
        <v>14</v>
      </c>
      <c r="G2">
        <v>4560</v>
      </c>
      <c r="H2">
        <f t="shared" ref="H2:H33" si="0">F2*G2</f>
        <v>63840</v>
      </c>
      <c r="I2" t="str">
        <f>TEXT(A2,"mmmm")</f>
        <v>March</v>
      </c>
    </row>
    <row r="3" spans="1:9" x14ac:dyDescent="0.2">
      <c r="A3" s="3">
        <v>45620</v>
      </c>
      <c r="B3" t="s">
        <v>275</v>
      </c>
      <c r="C3" t="s">
        <v>16</v>
      </c>
      <c r="D3" t="s">
        <v>31</v>
      </c>
      <c r="E3" t="s">
        <v>110</v>
      </c>
      <c r="F3">
        <v>5</v>
      </c>
      <c r="G3">
        <v>22675</v>
      </c>
      <c r="H3">
        <f>F3*G3</f>
        <v>113375</v>
      </c>
      <c r="I3" t="str">
        <f t="shared" ref="I3:I66" si="1">TEXT(A3,"mmmm")</f>
        <v>November</v>
      </c>
    </row>
    <row r="4" spans="1:9" x14ac:dyDescent="0.2">
      <c r="A4" s="3">
        <v>45421</v>
      </c>
      <c r="B4" t="s">
        <v>276</v>
      </c>
      <c r="C4" t="s">
        <v>191</v>
      </c>
      <c r="D4" t="s">
        <v>12</v>
      </c>
      <c r="E4" t="s">
        <v>22</v>
      </c>
      <c r="F4">
        <v>3</v>
      </c>
      <c r="G4">
        <v>8545</v>
      </c>
      <c r="H4">
        <f t="shared" si="0"/>
        <v>25635</v>
      </c>
      <c r="I4" t="str">
        <f t="shared" si="1"/>
        <v>May</v>
      </c>
    </row>
    <row r="5" spans="1:9" x14ac:dyDescent="0.2">
      <c r="A5" s="3">
        <v>45703</v>
      </c>
      <c r="B5" t="s">
        <v>274</v>
      </c>
      <c r="C5" t="s">
        <v>229</v>
      </c>
      <c r="D5" t="s">
        <v>12</v>
      </c>
      <c r="E5" t="s">
        <v>110</v>
      </c>
      <c r="F5">
        <v>10</v>
      </c>
      <c r="G5">
        <v>15156</v>
      </c>
      <c r="H5">
        <f t="shared" si="0"/>
        <v>151560</v>
      </c>
      <c r="I5" t="str">
        <f t="shared" si="1"/>
        <v>February</v>
      </c>
    </row>
    <row r="6" spans="1:9" x14ac:dyDescent="0.2">
      <c r="A6" s="3">
        <v>45537</v>
      </c>
      <c r="B6" t="s">
        <v>277</v>
      </c>
      <c r="C6" t="s">
        <v>143</v>
      </c>
      <c r="D6" t="s">
        <v>31</v>
      </c>
      <c r="E6" t="s">
        <v>165</v>
      </c>
      <c r="F6">
        <v>4</v>
      </c>
      <c r="G6">
        <v>4307</v>
      </c>
      <c r="H6">
        <f t="shared" si="0"/>
        <v>17228</v>
      </c>
      <c r="I6" t="str">
        <f t="shared" si="1"/>
        <v>September</v>
      </c>
    </row>
    <row r="7" spans="1:9" x14ac:dyDescent="0.2">
      <c r="A7" s="3">
        <v>45585</v>
      </c>
      <c r="B7" t="s">
        <v>278</v>
      </c>
      <c r="C7" t="s">
        <v>80</v>
      </c>
      <c r="D7" t="s">
        <v>12</v>
      </c>
      <c r="E7" t="s">
        <v>41</v>
      </c>
      <c r="F7">
        <v>24</v>
      </c>
      <c r="G7">
        <v>19194</v>
      </c>
      <c r="H7">
        <f t="shared" si="0"/>
        <v>460656</v>
      </c>
      <c r="I7" t="str">
        <f t="shared" si="1"/>
        <v>October</v>
      </c>
    </row>
    <row r="8" spans="1:9" x14ac:dyDescent="0.2">
      <c r="A8" s="3">
        <v>45715</v>
      </c>
      <c r="B8" t="s">
        <v>279</v>
      </c>
      <c r="C8" t="s">
        <v>254</v>
      </c>
      <c r="D8" t="s">
        <v>31</v>
      </c>
      <c r="E8" t="s">
        <v>41</v>
      </c>
      <c r="F8">
        <v>1</v>
      </c>
      <c r="G8">
        <v>21159</v>
      </c>
      <c r="H8">
        <f t="shared" si="0"/>
        <v>21159</v>
      </c>
      <c r="I8" t="str">
        <f t="shared" si="1"/>
        <v>February</v>
      </c>
    </row>
    <row r="9" spans="1:9" x14ac:dyDescent="0.2">
      <c r="A9" s="3">
        <v>45464</v>
      </c>
      <c r="B9" t="s">
        <v>280</v>
      </c>
      <c r="C9" t="s">
        <v>88</v>
      </c>
      <c r="D9" t="s">
        <v>12</v>
      </c>
      <c r="E9" t="s">
        <v>165</v>
      </c>
      <c r="F9">
        <v>25</v>
      </c>
      <c r="G9">
        <v>17881</v>
      </c>
      <c r="H9">
        <f t="shared" si="0"/>
        <v>447025</v>
      </c>
      <c r="I9" t="str">
        <f t="shared" si="1"/>
        <v>June</v>
      </c>
    </row>
    <row r="10" spans="1:9" x14ac:dyDescent="0.2">
      <c r="A10" s="3">
        <v>45699</v>
      </c>
      <c r="B10" t="s">
        <v>281</v>
      </c>
      <c r="C10" t="s">
        <v>247</v>
      </c>
      <c r="D10" t="s">
        <v>31</v>
      </c>
      <c r="E10" t="s">
        <v>165</v>
      </c>
      <c r="F10">
        <v>19</v>
      </c>
      <c r="G10">
        <v>14851</v>
      </c>
      <c r="H10">
        <f t="shared" si="0"/>
        <v>282169</v>
      </c>
      <c r="I10" t="str">
        <f t="shared" si="1"/>
        <v>February</v>
      </c>
    </row>
    <row r="11" spans="1:9" x14ac:dyDescent="0.2">
      <c r="A11" s="3">
        <v>45661</v>
      </c>
      <c r="B11" t="s">
        <v>278</v>
      </c>
      <c r="C11" t="s">
        <v>264</v>
      </c>
      <c r="D11" t="s">
        <v>31</v>
      </c>
      <c r="E11" t="s">
        <v>182</v>
      </c>
      <c r="F11">
        <v>2</v>
      </c>
      <c r="G11">
        <v>6236</v>
      </c>
      <c r="H11">
        <f t="shared" si="0"/>
        <v>12472</v>
      </c>
      <c r="I11" t="str">
        <f t="shared" si="1"/>
        <v>January</v>
      </c>
    </row>
    <row r="12" spans="1:9" x14ac:dyDescent="0.2">
      <c r="A12" s="3">
        <v>45520</v>
      </c>
      <c r="B12" t="s">
        <v>282</v>
      </c>
      <c r="C12" t="s">
        <v>264</v>
      </c>
      <c r="D12" t="s">
        <v>31</v>
      </c>
      <c r="E12" t="s">
        <v>205</v>
      </c>
      <c r="F12">
        <v>9</v>
      </c>
      <c r="G12">
        <v>6747</v>
      </c>
      <c r="H12">
        <f t="shared" si="0"/>
        <v>60723</v>
      </c>
      <c r="I12" t="str">
        <f t="shared" si="1"/>
        <v>August</v>
      </c>
    </row>
    <row r="13" spans="1:9" x14ac:dyDescent="0.2">
      <c r="A13" s="3">
        <v>45543</v>
      </c>
      <c r="B13" t="s">
        <v>283</v>
      </c>
      <c r="C13" t="s">
        <v>191</v>
      </c>
      <c r="D13" t="s">
        <v>12</v>
      </c>
      <c r="E13" t="s">
        <v>106</v>
      </c>
      <c r="F13">
        <v>19</v>
      </c>
      <c r="G13">
        <v>7028</v>
      </c>
      <c r="H13">
        <f t="shared" si="0"/>
        <v>133532</v>
      </c>
      <c r="I13" t="str">
        <f t="shared" si="1"/>
        <v>September</v>
      </c>
    </row>
    <row r="14" spans="1:9" x14ac:dyDescent="0.2">
      <c r="A14" s="3">
        <v>45735</v>
      </c>
      <c r="B14" t="s">
        <v>284</v>
      </c>
      <c r="C14" t="s">
        <v>122</v>
      </c>
      <c r="D14" t="s">
        <v>31</v>
      </c>
      <c r="E14" t="s">
        <v>110</v>
      </c>
      <c r="F14">
        <v>23</v>
      </c>
      <c r="G14">
        <v>17772</v>
      </c>
      <c r="H14">
        <f t="shared" si="0"/>
        <v>408756</v>
      </c>
      <c r="I14" t="str">
        <f t="shared" si="1"/>
        <v>March</v>
      </c>
    </row>
    <row r="15" spans="1:9" x14ac:dyDescent="0.2">
      <c r="A15" s="3">
        <v>45465</v>
      </c>
      <c r="B15" t="s">
        <v>285</v>
      </c>
      <c r="C15" t="s">
        <v>125</v>
      </c>
      <c r="D15" t="s">
        <v>31</v>
      </c>
      <c r="E15" t="s">
        <v>182</v>
      </c>
      <c r="F15">
        <v>12</v>
      </c>
      <c r="G15">
        <v>10876</v>
      </c>
      <c r="H15">
        <f t="shared" si="0"/>
        <v>130512</v>
      </c>
      <c r="I15" t="str">
        <f t="shared" si="1"/>
        <v>June</v>
      </c>
    </row>
    <row r="16" spans="1:9" x14ac:dyDescent="0.2">
      <c r="A16" s="3">
        <v>45632</v>
      </c>
      <c r="B16" t="s">
        <v>274</v>
      </c>
      <c r="C16" t="s">
        <v>122</v>
      </c>
      <c r="D16" t="s">
        <v>31</v>
      </c>
      <c r="E16" t="s">
        <v>41</v>
      </c>
      <c r="F16">
        <v>24</v>
      </c>
      <c r="G16">
        <v>3761</v>
      </c>
      <c r="H16">
        <f t="shared" si="0"/>
        <v>90264</v>
      </c>
      <c r="I16" t="str">
        <f t="shared" si="1"/>
        <v>December</v>
      </c>
    </row>
    <row r="17" spans="1:9" x14ac:dyDescent="0.2">
      <c r="A17" s="3">
        <v>45602</v>
      </c>
      <c r="B17" t="s">
        <v>286</v>
      </c>
      <c r="C17" t="s">
        <v>197</v>
      </c>
      <c r="D17" t="s">
        <v>31</v>
      </c>
      <c r="E17" t="s">
        <v>165</v>
      </c>
      <c r="F17">
        <v>13</v>
      </c>
      <c r="G17">
        <v>11526</v>
      </c>
      <c r="H17">
        <f t="shared" si="0"/>
        <v>149838</v>
      </c>
      <c r="I17" t="str">
        <f t="shared" si="1"/>
        <v>November</v>
      </c>
    </row>
    <row r="18" spans="1:9" x14ac:dyDescent="0.2">
      <c r="A18" s="3">
        <v>45520</v>
      </c>
      <c r="B18" t="s">
        <v>287</v>
      </c>
      <c r="C18" t="s">
        <v>16</v>
      </c>
      <c r="D18" t="s">
        <v>31</v>
      </c>
      <c r="E18" t="s">
        <v>41</v>
      </c>
      <c r="F18">
        <v>21</v>
      </c>
      <c r="G18">
        <v>17158</v>
      </c>
      <c r="H18">
        <f t="shared" si="0"/>
        <v>360318</v>
      </c>
      <c r="I18" t="str">
        <f t="shared" si="1"/>
        <v>August</v>
      </c>
    </row>
    <row r="19" spans="1:9" x14ac:dyDescent="0.2">
      <c r="A19" s="3">
        <v>45678</v>
      </c>
      <c r="B19" t="s">
        <v>288</v>
      </c>
      <c r="C19" t="s">
        <v>80</v>
      </c>
      <c r="D19" t="s">
        <v>12</v>
      </c>
      <c r="E19" t="s">
        <v>41</v>
      </c>
      <c r="F19">
        <v>4</v>
      </c>
      <c r="G19">
        <v>3976</v>
      </c>
      <c r="H19">
        <f t="shared" si="0"/>
        <v>15904</v>
      </c>
      <c r="I19" t="str">
        <f t="shared" si="1"/>
        <v>January</v>
      </c>
    </row>
    <row r="20" spans="1:9" x14ac:dyDescent="0.2">
      <c r="A20" s="3">
        <v>45479</v>
      </c>
      <c r="B20" t="s">
        <v>289</v>
      </c>
      <c r="C20" t="s">
        <v>247</v>
      </c>
      <c r="D20" t="s">
        <v>31</v>
      </c>
      <c r="E20" t="s">
        <v>22</v>
      </c>
      <c r="F20">
        <v>11</v>
      </c>
      <c r="G20">
        <v>16298</v>
      </c>
      <c r="H20">
        <f t="shared" si="0"/>
        <v>179278</v>
      </c>
      <c r="I20" t="str">
        <f t="shared" si="1"/>
        <v>July</v>
      </c>
    </row>
    <row r="21" spans="1:9" x14ac:dyDescent="0.2">
      <c r="A21" s="3">
        <v>45540</v>
      </c>
      <c r="B21" t="s">
        <v>275</v>
      </c>
      <c r="C21" t="s">
        <v>88</v>
      </c>
      <c r="D21" t="s">
        <v>12</v>
      </c>
      <c r="E21" t="s">
        <v>165</v>
      </c>
      <c r="F21">
        <v>23</v>
      </c>
      <c r="G21">
        <v>13989</v>
      </c>
      <c r="H21">
        <f t="shared" si="0"/>
        <v>321747</v>
      </c>
      <c r="I21" t="str">
        <f t="shared" si="1"/>
        <v>September</v>
      </c>
    </row>
    <row r="22" spans="1:9" x14ac:dyDescent="0.2">
      <c r="A22" s="3">
        <v>45463</v>
      </c>
      <c r="B22" t="s">
        <v>290</v>
      </c>
      <c r="C22" t="s">
        <v>122</v>
      </c>
      <c r="D22" t="s">
        <v>31</v>
      </c>
      <c r="E22" t="s">
        <v>182</v>
      </c>
      <c r="F22">
        <v>22</v>
      </c>
      <c r="G22">
        <v>8507</v>
      </c>
      <c r="H22">
        <f t="shared" si="0"/>
        <v>187154</v>
      </c>
      <c r="I22" t="str">
        <f t="shared" si="1"/>
        <v>June</v>
      </c>
    </row>
    <row r="23" spans="1:9" x14ac:dyDescent="0.2">
      <c r="A23" s="3">
        <v>45619</v>
      </c>
      <c r="B23" t="s">
        <v>291</v>
      </c>
      <c r="C23" t="s">
        <v>229</v>
      </c>
      <c r="D23" t="s">
        <v>12</v>
      </c>
      <c r="E23" t="s">
        <v>292</v>
      </c>
      <c r="F23">
        <v>20</v>
      </c>
      <c r="G23">
        <v>17134</v>
      </c>
      <c r="H23">
        <f t="shared" si="0"/>
        <v>342680</v>
      </c>
      <c r="I23" t="str">
        <f t="shared" si="1"/>
        <v>November</v>
      </c>
    </row>
    <row r="24" spans="1:9" x14ac:dyDescent="0.2">
      <c r="A24" s="3">
        <v>45723</v>
      </c>
      <c r="B24" t="s">
        <v>293</v>
      </c>
      <c r="C24" t="s">
        <v>99</v>
      </c>
      <c r="D24" t="s">
        <v>12</v>
      </c>
      <c r="E24" t="s">
        <v>165</v>
      </c>
      <c r="F24">
        <v>13</v>
      </c>
      <c r="G24">
        <v>18754</v>
      </c>
      <c r="H24">
        <f t="shared" si="0"/>
        <v>243802</v>
      </c>
      <c r="I24" t="str">
        <f t="shared" si="1"/>
        <v>March</v>
      </c>
    </row>
    <row r="25" spans="1:9" x14ac:dyDescent="0.2">
      <c r="A25" s="3">
        <v>45555</v>
      </c>
      <c r="B25" t="s">
        <v>294</v>
      </c>
      <c r="C25" t="s">
        <v>122</v>
      </c>
      <c r="D25" t="s">
        <v>31</v>
      </c>
      <c r="E25" t="s">
        <v>292</v>
      </c>
      <c r="F25">
        <v>12</v>
      </c>
      <c r="G25">
        <v>20582</v>
      </c>
      <c r="H25">
        <f t="shared" si="0"/>
        <v>246984</v>
      </c>
      <c r="I25" t="str">
        <f t="shared" si="1"/>
        <v>September</v>
      </c>
    </row>
    <row r="26" spans="1:9" x14ac:dyDescent="0.2">
      <c r="A26" s="3">
        <v>45702</v>
      </c>
      <c r="B26" t="s">
        <v>295</v>
      </c>
      <c r="C26" t="s">
        <v>99</v>
      </c>
      <c r="D26" t="s">
        <v>12</v>
      </c>
      <c r="E26" t="s">
        <v>106</v>
      </c>
      <c r="F26">
        <v>11</v>
      </c>
      <c r="G26">
        <v>21338</v>
      </c>
      <c r="H26">
        <f t="shared" si="0"/>
        <v>234718</v>
      </c>
      <c r="I26" t="str">
        <f t="shared" si="1"/>
        <v>February</v>
      </c>
    </row>
    <row r="27" spans="1:9" x14ac:dyDescent="0.2">
      <c r="A27" s="3">
        <v>45646</v>
      </c>
      <c r="B27" t="s">
        <v>296</v>
      </c>
      <c r="C27" t="s">
        <v>143</v>
      </c>
      <c r="D27" t="s">
        <v>31</v>
      </c>
      <c r="E27" t="s">
        <v>110</v>
      </c>
      <c r="F27">
        <v>24</v>
      </c>
      <c r="G27">
        <v>19511</v>
      </c>
      <c r="H27">
        <f t="shared" si="0"/>
        <v>468264</v>
      </c>
      <c r="I27" t="str">
        <f t="shared" si="1"/>
        <v>December</v>
      </c>
    </row>
    <row r="28" spans="1:9" x14ac:dyDescent="0.2">
      <c r="A28" s="3">
        <v>45463</v>
      </c>
      <c r="B28" t="s">
        <v>297</v>
      </c>
      <c r="C28" t="s">
        <v>197</v>
      </c>
      <c r="D28" t="s">
        <v>31</v>
      </c>
      <c r="E28" t="s">
        <v>165</v>
      </c>
      <c r="F28">
        <v>21</v>
      </c>
      <c r="G28">
        <v>14703</v>
      </c>
      <c r="H28">
        <f t="shared" si="0"/>
        <v>308763</v>
      </c>
      <c r="I28" t="str">
        <f t="shared" si="1"/>
        <v>June</v>
      </c>
    </row>
    <row r="29" spans="1:9" x14ac:dyDescent="0.2">
      <c r="A29" s="3">
        <v>45521</v>
      </c>
      <c r="B29" t="s">
        <v>298</v>
      </c>
      <c r="C29" t="s">
        <v>220</v>
      </c>
      <c r="D29" t="s">
        <v>12</v>
      </c>
      <c r="E29" t="s">
        <v>41</v>
      </c>
      <c r="F29">
        <v>11</v>
      </c>
      <c r="G29">
        <v>4717</v>
      </c>
      <c r="H29">
        <f t="shared" si="0"/>
        <v>51887</v>
      </c>
      <c r="I29" t="str">
        <f t="shared" si="1"/>
        <v>August</v>
      </c>
    </row>
    <row r="30" spans="1:9" x14ac:dyDescent="0.2">
      <c r="A30" s="3">
        <v>45653</v>
      </c>
      <c r="B30" t="s">
        <v>299</v>
      </c>
      <c r="C30" t="s">
        <v>191</v>
      </c>
      <c r="D30" t="s">
        <v>12</v>
      </c>
      <c r="E30" t="s">
        <v>165</v>
      </c>
      <c r="F30">
        <v>25</v>
      </c>
      <c r="G30">
        <v>21803</v>
      </c>
      <c r="H30">
        <f t="shared" si="0"/>
        <v>545075</v>
      </c>
      <c r="I30" t="str">
        <f t="shared" si="1"/>
        <v>December</v>
      </c>
    </row>
    <row r="31" spans="1:9" x14ac:dyDescent="0.2">
      <c r="A31" s="3">
        <v>45517</v>
      </c>
      <c r="B31" t="s">
        <v>300</v>
      </c>
      <c r="C31" t="s">
        <v>122</v>
      </c>
      <c r="D31" t="s">
        <v>31</v>
      </c>
      <c r="E31" t="s">
        <v>41</v>
      </c>
      <c r="F31">
        <v>5</v>
      </c>
      <c r="G31">
        <v>13052</v>
      </c>
      <c r="H31">
        <f t="shared" si="0"/>
        <v>65260</v>
      </c>
      <c r="I31" t="str">
        <f t="shared" si="1"/>
        <v>August</v>
      </c>
    </row>
    <row r="32" spans="1:9" x14ac:dyDescent="0.2">
      <c r="A32" s="3">
        <v>45521</v>
      </c>
      <c r="B32" t="s">
        <v>279</v>
      </c>
      <c r="C32" t="s">
        <v>125</v>
      </c>
      <c r="D32" t="s">
        <v>31</v>
      </c>
      <c r="E32" t="s">
        <v>22</v>
      </c>
      <c r="F32">
        <v>11</v>
      </c>
      <c r="G32">
        <v>13945</v>
      </c>
      <c r="H32">
        <f t="shared" si="0"/>
        <v>153395</v>
      </c>
      <c r="I32" t="str">
        <f t="shared" si="1"/>
        <v>August</v>
      </c>
    </row>
    <row r="33" spans="1:9" x14ac:dyDescent="0.2">
      <c r="A33" s="3">
        <v>45522</v>
      </c>
      <c r="B33" t="s">
        <v>301</v>
      </c>
      <c r="C33" t="s">
        <v>88</v>
      </c>
      <c r="D33" t="s">
        <v>12</v>
      </c>
      <c r="E33" t="s">
        <v>22</v>
      </c>
      <c r="F33">
        <v>14</v>
      </c>
      <c r="G33">
        <v>24869</v>
      </c>
      <c r="H33">
        <f t="shared" si="0"/>
        <v>348166</v>
      </c>
      <c r="I33" t="str">
        <f t="shared" si="1"/>
        <v>August</v>
      </c>
    </row>
    <row r="34" spans="1:9" x14ac:dyDescent="0.2">
      <c r="A34" s="3">
        <v>45608</v>
      </c>
      <c r="B34" t="s">
        <v>302</v>
      </c>
      <c r="C34" t="s">
        <v>80</v>
      </c>
      <c r="D34" t="s">
        <v>12</v>
      </c>
      <c r="E34" t="s">
        <v>205</v>
      </c>
      <c r="F34">
        <v>4</v>
      </c>
      <c r="G34">
        <v>2941</v>
      </c>
      <c r="H34">
        <f t="shared" ref="H34:H65" si="2">F34*G34</f>
        <v>11764</v>
      </c>
      <c r="I34" t="str">
        <f t="shared" si="1"/>
        <v>November</v>
      </c>
    </row>
    <row r="35" spans="1:9" x14ac:dyDescent="0.2">
      <c r="A35" s="3">
        <v>45496</v>
      </c>
      <c r="B35" t="s">
        <v>274</v>
      </c>
      <c r="C35" t="s">
        <v>99</v>
      </c>
      <c r="D35" t="s">
        <v>12</v>
      </c>
      <c r="E35" t="s">
        <v>292</v>
      </c>
      <c r="F35">
        <v>16</v>
      </c>
      <c r="G35">
        <v>18936</v>
      </c>
      <c r="H35">
        <f t="shared" si="2"/>
        <v>302976</v>
      </c>
      <c r="I35" t="str">
        <f t="shared" si="1"/>
        <v>July</v>
      </c>
    </row>
    <row r="36" spans="1:9" x14ac:dyDescent="0.2">
      <c r="A36" s="3">
        <v>45510</v>
      </c>
      <c r="B36" t="s">
        <v>303</v>
      </c>
      <c r="C36" t="s">
        <v>80</v>
      </c>
      <c r="D36" t="s">
        <v>12</v>
      </c>
      <c r="E36" t="s">
        <v>22</v>
      </c>
      <c r="F36">
        <v>16</v>
      </c>
      <c r="G36">
        <v>8088</v>
      </c>
      <c r="H36">
        <f t="shared" si="2"/>
        <v>129408</v>
      </c>
      <c r="I36" t="str">
        <f t="shared" si="1"/>
        <v>August</v>
      </c>
    </row>
    <row r="37" spans="1:9" x14ac:dyDescent="0.2">
      <c r="A37" s="3">
        <v>45599</v>
      </c>
      <c r="B37" t="s">
        <v>304</v>
      </c>
      <c r="C37" t="s">
        <v>229</v>
      </c>
      <c r="D37" t="s">
        <v>12</v>
      </c>
      <c r="E37" t="s">
        <v>110</v>
      </c>
      <c r="F37">
        <v>21</v>
      </c>
      <c r="G37">
        <v>9383</v>
      </c>
      <c r="H37">
        <f t="shared" si="2"/>
        <v>197043</v>
      </c>
      <c r="I37" t="str">
        <f t="shared" si="1"/>
        <v>November</v>
      </c>
    </row>
    <row r="38" spans="1:9" x14ac:dyDescent="0.2">
      <c r="A38" s="3">
        <v>45461</v>
      </c>
      <c r="B38" t="s">
        <v>305</v>
      </c>
      <c r="C38" t="s">
        <v>264</v>
      </c>
      <c r="D38" t="s">
        <v>31</v>
      </c>
      <c r="E38" t="s">
        <v>41</v>
      </c>
      <c r="F38">
        <v>15</v>
      </c>
      <c r="G38">
        <v>23720</v>
      </c>
      <c r="H38">
        <f t="shared" si="2"/>
        <v>355800</v>
      </c>
      <c r="I38" t="str">
        <f t="shared" si="1"/>
        <v>June</v>
      </c>
    </row>
    <row r="39" spans="1:9" x14ac:dyDescent="0.2">
      <c r="A39" s="3">
        <v>45578</v>
      </c>
      <c r="B39" t="s">
        <v>306</v>
      </c>
      <c r="C39" t="s">
        <v>197</v>
      </c>
      <c r="D39" t="s">
        <v>31</v>
      </c>
      <c r="E39" t="s">
        <v>41</v>
      </c>
      <c r="F39">
        <v>15</v>
      </c>
      <c r="G39">
        <v>21702</v>
      </c>
      <c r="H39">
        <f t="shared" si="2"/>
        <v>325530</v>
      </c>
      <c r="I39" t="str">
        <f t="shared" si="1"/>
        <v>October</v>
      </c>
    </row>
    <row r="40" spans="1:9" x14ac:dyDescent="0.2">
      <c r="A40" s="3">
        <v>45705</v>
      </c>
      <c r="B40" t="s">
        <v>288</v>
      </c>
      <c r="C40" t="s">
        <v>247</v>
      </c>
      <c r="D40" t="s">
        <v>31</v>
      </c>
      <c r="E40" t="s">
        <v>41</v>
      </c>
      <c r="F40">
        <v>5</v>
      </c>
      <c r="G40">
        <v>22297</v>
      </c>
      <c r="H40">
        <f t="shared" si="2"/>
        <v>111485</v>
      </c>
      <c r="I40" t="str">
        <f t="shared" si="1"/>
        <v>February</v>
      </c>
    </row>
    <row r="41" spans="1:9" x14ac:dyDescent="0.2">
      <c r="A41" s="3">
        <v>45440</v>
      </c>
      <c r="B41" t="s">
        <v>307</v>
      </c>
      <c r="C41" t="s">
        <v>143</v>
      </c>
      <c r="D41" t="s">
        <v>31</v>
      </c>
      <c r="E41" t="s">
        <v>110</v>
      </c>
      <c r="F41">
        <v>24</v>
      </c>
      <c r="G41">
        <v>4158</v>
      </c>
      <c r="H41">
        <f t="shared" si="2"/>
        <v>99792</v>
      </c>
      <c r="I41" t="str">
        <f t="shared" si="1"/>
        <v>May</v>
      </c>
    </row>
    <row r="42" spans="1:9" x14ac:dyDescent="0.2">
      <c r="A42" s="3">
        <v>45474</v>
      </c>
      <c r="B42" t="s">
        <v>301</v>
      </c>
      <c r="C42" t="s">
        <v>229</v>
      </c>
      <c r="D42" t="s">
        <v>12</v>
      </c>
      <c r="E42" t="s">
        <v>106</v>
      </c>
      <c r="F42">
        <v>12</v>
      </c>
      <c r="G42">
        <v>24672</v>
      </c>
      <c r="H42">
        <f t="shared" si="2"/>
        <v>296064</v>
      </c>
      <c r="I42" t="str">
        <f t="shared" si="1"/>
        <v>July</v>
      </c>
    </row>
    <row r="43" spans="1:9" x14ac:dyDescent="0.2">
      <c r="A43" s="3">
        <v>45720</v>
      </c>
      <c r="B43" t="s">
        <v>308</v>
      </c>
      <c r="C43" t="s">
        <v>220</v>
      </c>
      <c r="D43" t="s">
        <v>12</v>
      </c>
      <c r="E43" t="s">
        <v>205</v>
      </c>
      <c r="F43">
        <v>24</v>
      </c>
      <c r="G43">
        <v>2575</v>
      </c>
      <c r="H43">
        <f t="shared" si="2"/>
        <v>61800</v>
      </c>
      <c r="I43" t="str">
        <f t="shared" si="1"/>
        <v>March</v>
      </c>
    </row>
    <row r="44" spans="1:9" x14ac:dyDescent="0.2">
      <c r="A44" s="3">
        <v>45671</v>
      </c>
      <c r="B44" t="s">
        <v>309</v>
      </c>
      <c r="C44" t="s">
        <v>122</v>
      </c>
      <c r="D44" t="s">
        <v>31</v>
      </c>
      <c r="E44" t="s">
        <v>165</v>
      </c>
      <c r="F44">
        <v>5</v>
      </c>
      <c r="G44">
        <v>12236</v>
      </c>
      <c r="H44">
        <f t="shared" si="2"/>
        <v>61180</v>
      </c>
      <c r="I44" t="str">
        <f t="shared" si="1"/>
        <v>January</v>
      </c>
    </row>
    <row r="45" spans="1:9" x14ac:dyDescent="0.2">
      <c r="A45" s="3">
        <v>45415</v>
      </c>
      <c r="B45" t="s">
        <v>310</v>
      </c>
      <c r="C45" t="s">
        <v>229</v>
      </c>
      <c r="D45" t="s">
        <v>12</v>
      </c>
      <c r="E45" t="s">
        <v>41</v>
      </c>
      <c r="F45">
        <v>19</v>
      </c>
      <c r="G45">
        <v>8016</v>
      </c>
      <c r="H45">
        <f t="shared" si="2"/>
        <v>152304</v>
      </c>
      <c r="I45" t="str">
        <f t="shared" si="1"/>
        <v>May</v>
      </c>
    </row>
    <row r="46" spans="1:9" x14ac:dyDescent="0.2">
      <c r="A46" s="3">
        <v>45736</v>
      </c>
      <c r="B46" t="s">
        <v>281</v>
      </c>
      <c r="C46" t="s">
        <v>99</v>
      </c>
      <c r="D46" t="s">
        <v>12</v>
      </c>
      <c r="E46" t="s">
        <v>22</v>
      </c>
      <c r="F46">
        <v>3</v>
      </c>
      <c r="G46">
        <v>10441</v>
      </c>
      <c r="H46">
        <f t="shared" si="2"/>
        <v>31323</v>
      </c>
      <c r="I46" t="str">
        <f t="shared" si="1"/>
        <v>March</v>
      </c>
    </row>
    <row r="47" spans="1:9" x14ac:dyDescent="0.2">
      <c r="A47" s="3">
        <v>45658</v>
      </c>
      <c r="B47" t="s">
        <v>311</v>
      </c>
      <c r="C47" t="s">
        <v>220</v>
      </c>
      <c r="D47" t="s">
        <v>12</v>
      </c>
      <c r="E47" t="s">
        <v>106</v>
      </c>
      <c r="F47">
        <v>15</v>
      </c>
      <c r="G47">
        <v>11344</v>
      </c>
      <c r="H47">
        <f t="shared" si="2"/>
        <v>170160</v>
      </c>
      <c r="I47" t="str">
        <f t="shared" si="1"/>
        <v>January</v>
      </c>
    </row>
    <row r="48" spans="1:9" x14ac:dyDescent="0.2">
      <c r="A48" s="3">
        <v>45548</v>
      </c>
      <c r="B48" t="s">
        <v>312</v>
      </c>
      <c r="C48" t="s">
        <v>229</v>
      </c>
      <c r="D48" t="s">
        <v>12</v>
      </c>
      <c r="E48" t="s">
        <v>22</v>
      </c>
      <c r="F48">
        <v>25</v>
      </c>
      <c r="G48">
        <v>22829</v>
      </c>
      <c r="H48">
        <f t="shared" si="2"/>
        <v>570725</v>
      </c>
      <c r="I48" t="str">
        <f t="shared" si="1"/>
        <v>September</v>
      </c>
    </row>
    <row r="49" spans="1:9" x14ac:dyDescent="0.2">
      <c r="A49" s="3">
        <v>45395</v>
      </c>
      <c r="B49" t="s">
        <v>313</v>
      </c>
      <c r="C49" t="s">
        <v>16</v>
      </c>
      <c r="D49" t="s">
        <v>31</v>
      </c>
      <c r="E49" t="s">
        <v>182</v>
      </c>
      <c r="F49">
        <v>15</v>
      </c>
      <c r="G49">
        <v>14380</v>
      </c>
      <c r="H49">
        <f t="shared" si="2"/>
        <v>215700</v>
      </c>
      <c r="I49" t="str">
        <f t="shared" si="1"/>
        <v>April</v>
      </c>
    </row>
    <row r="50" spans="1:9" x14ac:dyDescent="0.2">
      <c r="A50" s="3">
        <v>45487</v>
      </c>
      <c r="B50" t="s">
        <v>314</v>
      </c>
      <c r="C50" t="s">
        <v>191</v>
      </c>
      <c r="D50" t="s">
        <v>12</v>
      </c>
      <c r="E50" t="s">
        <v>22</v>
      </c>
      <c r="F50">
        <v>3</v>
      </c>
      <c r="G50">
        <v>21584</v>
      </c>
      <c r="H50">
        <f t="shared" si="2"/>
        <v>64752</v>
      </c>
      <c r="I50" t="str">
        <f t="shared" si="1"/>
        <v>July</v>
      </c>
    </row>
    <row r="51" spans="1:9" x14ac:dyDescent="0.2">
      <c r="A51" s="3">
        <v>45731</v>
      </c>
      <c r="B51" t="s">
        <v>303</v>
      </c>
      <c r="C51" t="s">
        <v>191</v>
      </c>
      <c r="D51" t="s">
        <v>12</v>
      </c>
      <c r="E51" t="s">
        <v>106</v>
      </c>
      <c r="F51">
        <v>20</v>
      </c>
      <c r="G51">
        <v>16137</v>
      </c>
      <c r="H51">
        <f t="shared" si="2"/>
        <v>322740</v>
      </c>
      <c r="I51" t="str">
        <f t="shared" si="1"/>
        <v>March</v>
      </c>
    </row>
    <row r="52" spans="1:9" x14ac:dyDescent="0.2">
      <c r="A52" s="3">
        <v>45686</v>
      </c>
      <c r="B52" t="s">
        <v>298</v>
      </c>
      <c r="C52" t="s">
        <v>220</v>
      </c>
      <c r="D52" t="s">
        <v>12</v>
      </c>
      <c r="E52" t="s">
        <v>165</v>
      </c>
      <c r="F52">
        <v>15</v>
      </c>
      <c r="G52">
        <v>8790</v>
      </c>
      <c r="H52">
        <f t="shared" si="2"/>
        <v>131850</v>
      </c>
      <c r="I52" t="str">
        <f t="shared" si="1"/>
        <v>January</v>
      </c>
    </row>
    <row r="53" spans="1:9" x14ac:dyDescent="0.2">
      <c r="A53" s="3">
        <v>45450</v>
      </c>
      <c r="B53" t="s">
        <v>315</v>
      </c>
      <c r="C53" t="s">
        <v>88</v>
      </c>
      <c r="D53" t="s">
        <v>12</v>
      </c>
      <c r="E53" t="s">
        <v>22</v>
      </c>
      <c r="F53">
        <v>15</v>
      </c>
      <c r="G53">
        <v>21154</v>
      </c>
      <c r="H53">
        <f t="shared" si="2"/>
        <v>317310</v>
      </c>
      <c r="I53" t="str">
        <f t="shared" si="1"/>
        <v>June</v>
      </c>
    </row>
    <row r="54" spans="1:9" x14ac:dyDescent="0.2">
      <c r="A54" s="3">
        <v>45693</v>
      </c>
      <c r="B54" t="s">
        <v>309</v>
      </c>
      <c r="C54" t="s">
        <v>80</v>
      </c>
      <c r="D54" t="s">
        <v>12</v>
      </c>
      <c r="E54" t="s">
        <v>165</v>
      </c>
      <c r="F54">
        <v>13</v>
      </c>
      <c r="G54">
        <v>22809</v>
      </c>
      <c r="H54">
        <f t="shared" si="2"/>
        <v>296517</v>
      </c>
      <c r="I54" t="str">
        <f t="shared" si="1"/>
        <v>February</v>
      </c>
    </row>
    <row r="55" spans="1:9" x14ac:dyDescent="0.2">
      <c r="A55" s="3">
        <v>45539</v>
      </c>
      <c r="B55" t="s">
        <v>307</v>
      </c>
      <c r="C55" t="s">
        <v>122</v>
      </c>
      <c r="D55" t="s">
        <v>31</v>
      </c>
      <c r="E55" t="s">
        <v>165</v>
      </c>
      <c r="F55">
        <v>22</v>
      </c>
      <c r="G55">
        <v>3460</v>
      </c>
      <c r="H55">
        <f t="shared" si="2"/>
        <v>76120</v>
      </c>
      <c r="I55" t="str">
        <f t="shared" si="1"/>
        <v>September</v>
      </c>
    </row>
    <row r="56" spans="1:9" x14ac:dyDescent="0.2">
      <c r="A56" s="3">
        <v>45582</v>
      </c>
      <c r="B56" t="s">
        <v>316</v>
      </c>
      <c r="C56" t="s">
        <v>99</v>
      </c>
      <c r="D56" t="s">
        <v>12</v>
      </c>
      <c r="E56" t="s">
        <v>205</v>
      </c>
      <c r="F56">
        <v>5</v>
      </c>
      <c r="G56">
        <v>21190</v>
      </c>
      <c r="H56">
        <f t="shared" si="2"/>
        <v>105950</v>
      </c>
      <c r="I56" t="str">
        <f t="shared" si="1"/>
        <v>October</v>
      </c>
    </row>
    <row r="57" spans="1:9" x14ac:dyDescent="0.2">
      <c r="A57" s="3">
        <v>45740</v>
      </c>
      <c r="B57" t="s">
        <v>276</v>
      </c>
      <c r="C57" t="s">
        <v>197</v>
      </c>
      <c r="D57" t="s">
        <v>31</v>
      </c>
      <c r="E57" t="s">
        <v>165</v>
      </c>
      <c r="F57">
        <v>16</v>
      </c>
      <c r="G57">
        <v>16486</v>
      </c>
      <c r="H57">
        <f t="shared" si="2"/>
        <v>263776</v>
      </c>
      <c r="I57" t="str">
        <f t="shared" si="1"/>
        <v>March</v>
      </c>
    </row>
    <row r="58" spans="1:9" x14ac:dyDescent="0.2">
      <c r="A58" s="3">
        <v>45736</v>
      </c>
      <c r="B58" t="s">
        <v>297</v>
      </c>
      <c r="C58" t="s">
        <v>254</v>
      </c>
      <c r="D58" t="s">
        <v>31</v>
      </c>
      <c r="E58" t="s">
        <v>110</v>
      </c>
      <c r="F58">
        <v>14</v>
      </c>
      <c r="G58">
        <v>4976</v>
      </c>
      <c r="H58">
        <f t="shared" si="2"/>
        <v>69664</v>
      </c>
      <c r="I58" t="str">
        <f t="shared" si="1"/>
        <v>March</v>
      </c>
    </row>
    <row r="59" spans="1:9" x14ac:dyDescent="0.2">
      <c r="A59" s="3">
        <v>45480</v>
      </c>
      <c r="B59" t="s">
        <v>316</v>
      </c>
      <c r="C59" t="s">
        <v>80</v>
      </c>
      <c r="D59" t="s">
        <v>12</v>
      </c>
      <c r="E59" t="s">
        <v>165</v>
      </c>
      <c r="F59">
        <v>15</v>
      </c>
      <c r="G59">
        <v>8985</v>
      </c>
      <c r="H59">
        <f t="shared" si="2"/>
        <v>134775</v>
      </c>
      <c r="I59" t="str">
        <f t="shared" si="1"/>
        <v>July</v>
      </c>
    </row>
    <row r="60" spans="1:9" x14ac:dyDescent="0.2">
      <c r="A60" s="3">
        <v>45514</v>
      </c>
      <c r="B60" t="s">
        <v>317</v>
      </c>
      <c r="C60" t="s">
        <v>80</v>
      </c>
      <c r="D60" t="s">
        <v>12</v>
      </c>
      <c r="E60" t="s">
        <v>182</v>
      </c>
      <c r="F60">
        <v>25</v>
      </c>
      <c r="G60">
        <v>6166</v>
      </c>
      <c r="H60">
        <f t="shared" si="2"/>
        <v>154150</v>
      </c>
      <c r="I60" t="str">
        <f t="shared" si="1"/>
        <v>August</v>
      </c>
    </row>
    <row r="61" spans="1:9" x14ac:dyDescent="0.2">
      <c r="A61" s="3">
        <v>45621</v>
      </c>
      <c r="B61" t="s">
        <v>289</v>
      </c>
      <c r="C61" t="s">
        <v>229</v>
      </c>
      <c r="D61" t="s">
        <v>12</v>
      </c>
      <c r="E61" t="s">
        <v>106</v>
      </c>
      <c r="F61">
        <v>25</v>
      </c>
      <c r="G61">
        <v>19939</v>
      </c>
      <c r="H61">
        <f t="shared" si="2"/>
        <v>498475</v>
      </c>
      <c r="I61" t="str">
        <f t="shared" si="1"/>
        <v>November</v>
      </c>
    </row>
    <row r="62" spans="1:9" x14ac:dyDescent="0.2">
      <c r="A62" s="3">
        <v>45714</v>
      </c>
      <c r="B62" t="s">
        <v>309</v>
      </c>
      <c r="C62" t="s">
        <v>264</v>
      </c>
      <c r="D62" t="s">
        <v>31</v>
      </c>
      <c r="E62" t="s">
        <v>110</v>
      </c>
      <c r="F62">
        <v>15</v>
      </c>
      <c r="G62">
        <v>13233</v>
      </c>
      <c r="H62">
        <f t="shared" si="2"/>
        <v>198495</v>
      </c>
      <c r="I62" t="str">
        <f t="shared" si="1"/>
        <v>February</v>
      </c>
    </row>
    <row r="63" spans="1:9" x14ac:dyDescent="0.2">
      <c r="A63" s="3">
        <v>45577</v>
      </c>
      <c r="B63" t="s">
        <v>318</v>
      </c>
      <c r="C63" t="s">
        <v>247</v>
      </c>
      <c r="D63" t="s">
        <v>31</v>
      </c>
      <c r="E63" t="s">
        <v>165</v>
      </c>
      <c r="F63">
        <v>14</v>
      </c>
      <c r="G63">
        <v>23625</v>
      </c>
      <c r="H63">
        <f t="shared" si="2"/>
        <v>330750</v>
      </c>
      <c r="I63" t="str">
        <f t="shared" si="1"/>
        <v>October</v>
      </c>
    </row>
    <row r="64" spans="1:9" x14ac:dyDescent="0.2">
      <c r="A64" s="3">
        <v>45656</v>
      </c>
      <c r="B64" t="s">
        <v>317</v>
      </c>
      <c r="C64" t="s">
        <v>247</v>
      </c>
      <c r="D64" t="s">
        <v>31</v>
      </c>
      <c r="E64" t="s">
        <v>22</v>
      </c>
      <c r="F64">
        <v>3</v>
      </c>
      <c r="G64">
        <v>21861</v>
      </c>
      <c r="H64">
        <f t="shared" si="2"/>
        <v>65583</v>
      </c>
      <c r="I64" t="str">
        <f t="shared" si="1"/>
        <v>December</v>
      </c>
    </row>
    <row r="65" spans="1:9" x14ac:dyDescent="0.2">
      <c r="A65" s="3">
        <v>45386</v>
      </c>
      <c r="B65" t="s">
        <v>298</v>
      </c>
      <c r="C65" t="s">
        <v>254</v>
      </c>
      <c r="D65" t="s">
        <v>31</v>
      </c>
      <c r="E65" t="s">
        <v>22</v>
      </c>
      <c r="F65">
        <v>11</v>
      </c>
      <c r="G65">
        <v>3121</v>
      </c>
      <c r="H65">
        <f t="shared" si="2"/>
        <v>34331</v>
      </c>
      <c r="I65" t="str">
        <f t="shared" si="1"/>
        <v>April</v>
      </c>
    </row>
    <row r="66" spans="1:9" x14ac:dyDescent="0.2">
      <c r="A66" s="3">
        <v>45560</v>
      </c>
      <c r="B66" t="s">
        <v>315</v>
      </c>
      <c r="C66" t="s">
        <v>99</v>
      </c>
      <c r="D66" t="s">
        <v>12</v>
      </c>
      <c r="E66" t="s">
        <v>292</v>
      </c>
      <c r="F66">
        <v>1</v>
      </c>
      <c r="G66">
        <v>14564</v>
      </c>
      <c r="H66">
        <f t="shared" ref="H66:H97" si="3">F66*G66</f>
        <v>14564</v>
      </c>
      <c r="I66" t="str">
        <f t="shared" si="1"/>
        <v>September</v>
      </c>
    </row>
    <row r="67" spans="1:9" x14ac:dyDescent="0.2">
      <c r="A67" s="3">
        <v>45609</v>
      </c>
      <c r="B67" t="s">
        <v>290</v>
      </c>
      <c r="C67" t="s">
        <v>197</v>
      </c>
      <c r="D67" t="s">
        <v>31</v>
      </c>
      <c r="E67" t="s">
        <v>165</v>
      </c>
      <c r="F67">
        <v>17</v>
      </c>
      <c r="G67">
        <v>22553</v>
      </c>
      <c r="H67">
        <f t="shared" si="3"/>
        <v>383401</v>
      </c>
      <c r="I67" t="str">
        <f t="shared" ref="I67:I130" si="4">TEXT(A67,"mmmm")</f>
        <v>November</v>
      </c>
    </row>
    <row r="68" spans="1:9" x14ac:dyDescent="0.2">
      <c r="A68" s="3">
        <v>45654</v>
      </c>
      <c r="B68" t="s">
        <v>310</v>
      </c>
      <c r="C68" t="s">
        <v>88</v>
      </c>
      <c r="D68" t="s">
        <v>12</v>
      </c>
      <c r="E68" t="s">
        <v>106</v>
      </c>
      <c r="F68">
        <v>18</v>
      </c>
      <c r="G68">
        <v>15411</v>
      </c>
      <c r="H68">
        <f t="shared" si="3"/>
        <v>277398</v>
      </c>
      <c r="I68" t="str">
        <f t="shared" si="4"/>
        <v>December</v>
      </c>
    </row>
    <row r="69" spans="1:9" x14ac:dyDescent="0.2">
      <c r="A69" s="3">
        <v>45654</v>
      </c>
      <c r="B69" t="s">
        <v>319</v>
      </c>
      <c r="C69" t="s">
        <v>191</v>
      </c>
      <c r="D69" t="s">
        <v>12</v>
      </c>
      <c r="E69" t="s">
        <v>110</v>
      </c>
      <c r="F69">
        <v>3</v>
      </c>
      <c r="G69">
        <v>20771</v>
      </c>
      <c r="H69">
        <f t="shared" si="3"/>
        <v>62313</v>
      </c>
      <c r="I69" t="str">
        <f t="shared" si="4"/>
        <v>December</v>
      </c>
    </row>
    <row r="70" spans="1:9" x14ac:dyDescent="0.2">
      <c r="A70" s="3">
        <v>45481</v>
      </c>
      <c r="B70" t="s">
        <v>320</v>
      </c>
      <c r="C70" t="s">
        <v>220</v>
      </c>
      <c r="D70" t="s">
        <v>12</v>
      </c>
      <c r="E70" t="s">
        <v>165</v>
      </c>
      <c r="F70">
        <v>12</v>
      </c>
      <c r="G70">
        <v>21820</v>
      </c>
      <c r="H70">
        <f t="shared" si="3"/>
        <v>261840</v>
      </c>
      <c r="I70" t="str">
        <f t="shared" si="4"/>
        <v>July</v>
      </c>
    </row>
    <row r="71" spans="1:9" x14ac:dyDescent="0.2">
      <c r="A71" s="3">
        <v>45518</v>
      </c>
      <c r="B71" t="s">
        <v>283</v>
      </c>
      <c r="C71" t="s">
        <v>197</v>
      </c>
      <c r="D71" t="s">
        <v>31</v>
      </c>
      <c r="E71" t="s">
        <v>106</v>
      </c>
      <c r="F71">
        <v>3</v>
      </c>
      <c r="G71">
        <v>18889</v>
      </c>
      <c r="H71">
        <f t="shared" si="3"/>
        <v>56667</v>
      </c>
      <c r="I71" t="str">
        <f t="shared" si="4"/>
        <v>August</v>
      </c>
    </row>
    <row r="72" spans="1:9" x14ac:dyDescent="0.2">
      <c r="A72" s="3">
        <v>45512</v>
      </c>
      <c r="B72" t="s">
        <v>321</v>
      </c>
      <c r="C72" t="s">
        <v>197</v>
      </c>
      <c r="D72" t="s">
        <v>31</v>
      </c>
      <c r="E72" t="s">
        <v>22</v>
      </c>
      <c r="F72">
        <v>12</v>
      </c>
      <c r="G72">
        <v>8147</v>
      </c>
      <c r="H72">
        <f t="shared" si="3"/>
        <v>97764</v>
      </c>
      <c r="I72" t="str">
        <f t="shared" si="4"/>
        <v>August</v>
      </c>
    </row>
    <row r="73" spans="1:9" x14ac:dyDescent="0.2">
      <c r="A73" s="3">
        <v>45484</v>
      </c>
      <c r="B73" t="s">
        <v>322</v>
      </c>
      <c r="C73" t="s">
        <v>16</v>
      </c>
      <c r="D73" t="s">
        <v>31</v>
      </c>
      <c r="E73" t="s">
        <v>182</v>
      </c>
      <c r="F73">
        <v>19</v>
      </c>
      <c r="G73">
        <v>2145</v>
      </c>
      <c r="H73">
        <f t="shared" si="3"/>
        <v>40755</v>
      </c>
      <c r="I73" t="str">
        <f t="shared" si="4"/>
        <v>July</v>
      </c>
    </row>
    <row r="74" spans="1:9" x14ac:dyDescent="0.2">
      <c r="A74" s="3">
        <v>45724</v>
      </c>
      <c r="B74" t="s">
        <v>323</v>
      </c>
      <c r="C74" t="s">
        <v>125</v>
      </c>
      <c r="D74" t="s">
        <v>31</v>
      </c>
      <c r="E74" t="s">
        <v>110</v>
      </c>
      <c r="F74">
        <v>8</v>
      </c>
      <c r="G74">
        <v>6124</v>
      </c>
      <c r="H74">
        <f t="shared" si="3"/>
        <v>48992</v>
      </c>
      <c r="I74" t="str">
        <f t="shared" si="4"/>
        <v>March</v>
      </c>
    </row>
    <row r="75" spans="1:9" x14ac:dyDescent="0.2">
      <c r="A75" s="3">
        <v>45660</v>
      </c>
      <c r="B75" t="s">
        <v>324</v>
      </c>
      <c r="C75" t="s">
        <v>125</v>
      </c>
      <c r="D75" t="s">
        <v>31</v>
      </c>
      <c r="E75" t="s">
        <v>205</v>
      </c>
      <c r="F75">
        <v>17</v>
      </c>
      <c r="G75">
        <v>18203</v>
      </c>
      <c r="H75">
        <f t="shared" si="3"/>
        <v>309451</v>
      </c>
      <c r="I75" t="str">
        <f t="shared" si="4"/>
        <v>January</v>
      </c>
    </row>
    <row r="76" spans="1:9" x14ac:dyDescent="0.2">
      <c r="A76" s="3">
        <v>45667</v>
      </c>
      <c r="B76" t="s">
        <v>274</v>
      </c>
      <c r="C76" t="s">
        <v>80</v>
      </c>
      <c r="D76" t="s">
        <v>12</v>
      </c>
      <c r="E76" t="s">
        <v>41</v>
      </c>
      <c r="F76">
        <v>2</v>
      </c>
      <c r="G76">
        <v>19778</v>
      </c>
      <c r="H76">
        <f t="shared" si="3"/>
        <v>39556</v>
      </c>
      <c r="I76" t="str">
        <f t="shared" si="4"/>
        <v>January</v>
      </c>
    </row>
    <row r="77" spans="1:9" x14ac:dyDescent="0.2">
      <c r="A77" s="3">
        <v>45657</v>
      </c>
      <c r="B77" t="s">
        <v>325</v>
      </c>
      <c r="C77" t="s">
        <v>16</v>
      </c>
      <c r="D77" t="s">
        <v>31</v>
      </c>
      <c r="E77" t="s">
        <v>165</v>
      </c>
      <c r="F77">
        <v>24</v>
      </c>
      <c r="G77">
        <v>20119</v>
      </c>
      <c r="H77">
        <f t="shared" si="3"/>
        <v>482856</v>
      </c>
      <c r="I77" t="str">
        <f t="shared" si="4"/>
        <v>December</v>
      </c>
    </row>
    <row r="78" spans="1:9" x14ac:dyDescent="0.2">
      <c r="A78" s="3">
        <v>45531</v>
      </c>
      <c r="B78" t="s">
        <v>303</v>
      </c>
      <c r="C78" t="s">
        <v>16</v>
      </c>
      <c r="D78" t="s">
        <v>31</v>
      </c>
      <c r="E78" t="s">
        <v>165</v>
      </c>
      <c r="F78">
        <v>15</v>
      </c>
      <c r="G78">
        <v>21630</v>
      </c>
      <c r="H78">
        <f t="shared" si="3"/>
        <v>324450</v>
      </c>
      <c r="I78" t="str">
        <f t="shared" si="4"/>
        <v>August</v>
      </c>
    </row>
    <row r="79" spans="1:9" x14ac:dyDescent="0.2">
      <c r="A79" s="3">
        <v>45666</v>
      </c>
      <c r="B79" t="s">
        <v>326</v>
      </c>
      <c r="C79" t="s">
        <v>143</v>
      </c>
      <c r="D79" t="s">
        <v>31</v>
      </c>
      <c r="E79" t="s">
        <v>41</v>
      </c>
      <c r="F79">
        <v>23</v>
      </c>
      <c r="G79">
        <v>12035</v>
      </c>
      <c r="H79">
        <f t="shared" si="3"/>
        <v>276805</v>
      </c>
      <c r="I79" t="str">
        <f t="shared" si="4"/>
        <v>January</v>
      </c>
    </row>
    <row r="80" spans="1:9" x14ac:dyDescent="0.2">
      <c r="A80" s="3">
        <v>45631</v>
      </c>
      <c r="B80" t="s">
        <v>305</v>
      </c>
      <c r="C80" t="s">
        <v>143</v>
      </c>
      <c r="D80" t="s">
        <v>31</v>
      </c>
      <c r="E80" t="s">
        <v>165</v>
      </c>
      <c r="F80">
        <v>8</v>
      </c>
      <c r="G80">
        <v>9703</v>
      </c>
      <c r="H80">
        <f t="shared" si="3"/>
        <v>77624</v>
      </c>
      <c r="I80" t="str">
        <f t="shared" si="4"/>
        <v>December</v>
      </c>
    </row>
    <row r="81" spans="1:9" x14ac:dyDescent="0.2">
      <c r="A81" s="3">
        <v>45542</v>
      </c>
      <c r="B81" t="s">
        <v>326</v>
      </c>
      <c r="C81" t="s">
        <v>254</v>
      </c>
      <c r="D81" t="s">
        <v>31</v>
      </c>
      <c r="E81" t="s">
        <v>106</v>
      </c>
      <c r="F81">
        <v>13</v>
      </c>
      <c r="G81">
        <v>24229</v>
      </c>
      <c r="H81">
        <f t="shared" si="3"/>
        <v>314977</v>
      </c>
      <c r="I81" t="str">
        <f t="shared" si="4"/>
        <v>September</v>
      </c>
    </row>
    <row r="82" spans="1:9" x14ac:dyDescent="0.2">
      <c r="A82" s="3">
        <v>45544</v>
      </c>
      <c r="B82" t="s">
        <v>303</v>
      </c>
      <c r="C82" t="s">
        <v>220</v>
      </c>
      <c r="D82" t="s">
        <v>12</v>
      </c>
      <c r="E82" t="s">
        <v>22</v>
      </c>
      <c r="F82">
        <v>22</v>
      </c>
      <c r="G82">
        <v>18579</v>
      </c>
      <c r="H82">
        <f t="shared" si="3"/>
        <v>408738</v>
      </c>
      <c r="I82" t="str">
        <f t="shared" si="4"/>
        <v>September</v>
      </c>
    </row>
    <row r="83" spans="1:9" x14ac:dyDescent="0.2">
      <c r="A83" s="3">
        <v>45624</v>
      </c>
      <c r="B83" t="s">
        <v>327</v>
      </c>
      <c r="C83" t="s">
        <v>197</v>
      </c>
      <c r="D83" t="s">
        <v>31</v>
      </c>
      <c r="E83" t="s">
        <v>106</v>
      </c>
      <c r="F83">
        <v>7</v>
      </c>
      <c r="G83">
        <v>20440</v>
      </c>
      <c r="H83">
        <f t="shared" si="3"/>
        <v>143080</v>
      </c>
      <c r="I83" t="str">
        <f t="shared" si="4"/>
        <v>November</v>
      </c>
    </row>
    <row r="84" spans="1:9" x14ac:dyDescent="0.2">
      <c r="A84" s="3">
        <v>45569</v>
      </c>
      <c r="B84" t="s">
        <v>328</v>
      </c>
      <c r="C84" t="s">
        <v>125</v>
      </c>
      <c r="D84" t="s">
        <v>31</v>
      </c>
      <c r="E84" t="s">
        <v>165</v>
      </c>
      <c r="F84">
        <v>23</v>
      </c>
      <c r="G84">
        <v>23198</v>
      </c>
      <c r="H84">
        <f t="shared" si="3"/>
        <v>533554</v>
      </c>
      <c r="I84" t="str">
        <f t="shared" si="4"/>
        <v>October</v>
      </c>
    </row>
    <row r="85" spans="1:9" x14ac:dyDescent="0.2">
      <c r="A85" s="3">
        <v>45658</v>
      </c>
      <c r="B85" t="s">
        <v>329</v>
      </c>
      <c r="C85" t="s">
        <v>99</v>
      </c>
      <c r="D85" t="s">
        <v>12</v>
      </c>
      <c r="E85" t="s">
        <v>106</v>
      </c>
      <c r="F85">
        <v>12</v>
      </c>
      <c r="G85">
        <v>7986</v>
      </c>
      <c r="H85">
        <f t="shared" si="3"/>
        <v>95832</v>
      </c>
      <c r="I85" t="str">
        <f t="shared" si="4"/>
        <v>January</v>
      </c>
    </row>
    <row r="86" spans="1:9" x14ac:dyDescent="0.2">
      <c r="A86" s="3">
        <v>45605</v>
      </c>
      <c r="B86" t="s">
        <v>330</v>
      </c>
      <c r="C86" t="s">
        <v>122</v>
      </c>
      <c r="D86" t="s">
        <v>31</v>
      </c>
      <c r="E86" t="s">
        <v>165</v>
      </c>
      <c r="F86">
        <v>1</v>
      </c>
      <c r="G86">
        <v>2307</v>
      </c>
      <c r="H86">
        <f t="shared" si="3"/>
        <v>2307</v>
      </c>
      <c r="I86" t="str">
        <f t="shared" si="4"/>
        <v>November</v>
      </c>
    </row>
    <row r="87" spans="1:9" x14ac:dyDescent="0.2">
      <c r="A87" s="3">
        <v>45525</v>
      </c>
      <c r="B87" t="s">
        <v>331</v>
      </c>
      <c r="C87" t="s">
        <v>264</v>
      </c>
      <c r="D87" t="s">
        <v>31</v>
      </c>
      <c r="E87" t="s">
        <v>165</v>
      </c>
      <c r="F87">
        <v>5</v>
      </c>
      <c r="G87">
        <v>7855</v>
      </c>
      <c r="H87">
        <f t="shared" si="3"/>
        <v>39275</v>
      </c>
      <c r="I87" t="str">
        <f t="shared" si="4"/>
        <v>August</v>
      </c>
    </row>
    <row r="88" spans="1:9" x14ac:dyDescent="0.2">
      <c r="A88" s="3">
        <v>45557</v>
      </c>
      <c r="B88" t="s">
        <v>316</v>
      </c>
      <c r="C88" t="s">
        <v>143</v>
      </c>
      <c r="D88" t="s">
        <v>31</v>
      </c>
      <c r="E88" t="s">
        <v>205</v>
      </c>
      <c r="F88">
        <v>1</v>
      </c>
      <c r="G88">
        <v>24461</v>
      </c>
      <c r="H88">
        <f t="shared" si="3"/>
        <v>24461</v>
      </c>
      <c r="I88" t="str">
        <f t="shared" si="4"/>
        <v>September</v>
      </c>
    </row>
    <row r="89" spans="1:9" x14ac:dyDescent="0.2">
      <c r="A89" s="3">
        <v>45597</v>
      </c>
      <c r="B89" t="s">
        <v>332</v>
      </c>
      <c r="C89" t="s">
        <v>220</v>
      </c>
      <c r="D89" t="s">
        <v>12</v>
      </c>
      <c r="E89" t="s">
        <v>41</v>
      </c>
      <c r="F89">
        <v>9</v>
      </c>
      <c r="G89">
        <v>13769</v>
      </c>
      <c r="H89">
        <f t="shared" si="3"/>
        <v>123921</v>
      </c>
      <c r="I89" t="str">
        <f t="shared" si="4"/>
        <v>November</v>
      </c>
    </row>
    <row r="90" spans="1:9" x14ac:dyDescent="0.2">
      <c r="A90" s="3">
        <v>45738</v>
      </c>
      <c r="B90" t="s">
        <v>303</v>
      </c>
      <c r="C90" t="s">
        <v>16</v>
      </c>
      <c r="D90" t="s">
        <v>31</v>
      </c>
      <c r="E90" t="s">
        <v>106</v>
      </c>
      <c r="F90">
        <v>11</v>
      </c>
      <c r="G90">
        <v>18580</v>
      </c>
      <c r="H90">
        <f t="shared" si="3"/>
        <v>204380</v>
      </c>
      <c r="I90" t="str">
        <f t="shared" si="4"/>
        <v>March</v>
      </c>
    </row>
    <row r="91" spans="1:9" x14ac:dyDescent="0.2">
      <c r="A91" s="3">
        <v>45682</v>
      </c>
      <c r="B91" t="s">
        <v>305</v>
      </c>
      <c r="C91" t="s">
        <v>99</v>
      </c>
      <c r="D91" t="s">
        <v>12</v>
      </c>
      <c r="E91" t="s">
        <v>205</v>
      </c>
      <c r="F91">
        <v>12</v>
      </c>
      <c r="G91">
        <v>14180</v>
      </c>
      <c r="H91">
        <f t="shared" si="3"/>
        <v>170160</v>
      </c>
      <c r="I91" t="str">
        <f t="shared" si="4"/>
        <v>January</v>
      </c>
    </row>
    <row r="92" spans="1:9" x14ac:dyDescent="0.2">
      <c r="A92" s="3">
        <v>45533</v>
      </c>
      <c r="B92" t="s">
        <v>298</v>
      </c>
      <c r="C92" t="s">
        <v>191</v>
      </c>
      <c r="D92" t="s">
        <v>12</v>
      </c>
      <c r="E92" t="s">
        <v>22</v>
      </c>
      <c r="F92">
        <v>22</v>
      </c>
      <c r="G92">
        <v>8267</v>
      </c>
      <c r="H92">
        <f t="shared" si="3"/>
        <v>181874</v>
      </c>
      <c r="I92" t="str">
        <f t="shared" si="4"/>
        <v>August</v>
      </c>
    </row>
    <row r="93" spans="1:9" x14ac:dyDescent="0.2">
      <c r="A93" s="3">
        <v>45654</v>
      </c>
      <c r="B93" t="s">
        <v>333</v>
      </c>
      <c r="C93" t="s">
        <v>88</v>
      </c>
      <c r="D93" t="s">
        <v>12</v>
      </c>
      <c r="E93" t="s">
        <v>292</v>
      </c>
      <c r="F93">
        <v>23</v>
      </c>
      <c r="G93">
        <v>15668</v>
      </c>
      <c r="H93">
        <f t="shared" si="3"/>
        <v>360364</v>
      </c>
      <c r="I93" t="str">
        <f t="shared" si="4"/>
        <v>December</v>
      </c>
    </row>
    <row r="94" spans="1:9" x14ac:dyDescent="0.2">
      <c r="A94" s="3">
        <v>45384</v>
      </c>
      <c r="B94" t="s">
        <v>326</v>
      </c>
      <c r="C94" t="s">
        <v>99</v>
      </c>
      <c r="D94" t="s">
        <v>12</v>
      </c>
      <c r="E94" t="s">
        <v>205</v>
      </c>
      <c r="F94">
        <v>5</v>
      </c>
      <c r="G94">
        <v>15432</v>
      </c>
      <c r="H94">
        <f t="shared" si="3"/>
        <v>77160</v>
      </c>
      <c r="I94" t="str">
        <f t="shared" si="4"/>
        <v>April</v>
      </c>
    </row>
    <row r="95" spans="1:9" x14ac:dyDescent="0.2">
      <c r="A95" s="3">
        <v>45685</v>
      </c>
      <c r="B95" t="s">
        <v>305</v>
      </c>
      <c r="C95" t="s">
        <v>229</v>
      </c>
      <c r="D95" t="s">
        <v>12</v>
      </c>
      <c r="E95" t="s">
        <v>205</v>
      </c>
      <c r="F95">
        <v>1</v>
      </c>
      <c r="G95">
        <v>24473</v>
      </c>
      <c r="H95">
        <f t="shared" si="3"/>
        <v>24473</v>
      </c>
      <c r="I95" t="str">
        <f t="shared" si="4"/>
        <v>January</v>
      </c>
    </row>
    <row r="96" spans="1:9" x14ac:dyDescent="0.2">
      <c r="A96" s="3">
        <v>45643</v>
      </c>
      <c r="B96" t="s">
        <v>333</v>
      </c>
      <c r="C96" t="s">
        <v>99</v>
      </c>
      <c r="D96" t="s">
        <v>12</v>
      </c>
      <c r="E96" t="s">
        <v>22</v>
      </c>
      <c r="F96">
        <v>4</v>
      </c>
      <c r="G96">
        <v>9359</v>
      </c>
      <c r="H96">
        <f t="shared" si="3"/>
        <v>37436</v>
      </c>
      <c r="I96" t="str">
        <f t="shared" si="4"/>
        <v>December</v>
      </c>
    </row>
    <row r="97" spans="1:9" x14ac:dyDescent="0.2">
      <c r="A97" s="3">
        <v>45473</v>
      </c>
      <c r="B97" t="s">
        <v>334</v>
      </c>
      <c r="C97" t="s">
        <v>229</v>
      </c>
      <c r="D97" t="s">
        <v>12</v>
      </c>
      <c r="E97" t="s">
        <v>106</v>
      </c>
      <c r="F97">
        <v>22</v>
      </c>
      <c r="G97">
        <v>24886</v>
      </c>
      <c r="H97">
        <f t="shared" si="3"/>
        <v>547492</v>
      </c>
      <c r="I97" t="str">
        <f t="shared" si="4"/>
        <v>June</v>
      </c>
    </row>
    <row r="98" spans="1:9" x14ac:dyDescent="0.2">
      <c r="A98" s="3">
        <v>45651</v>
      </c>
      <c r="B98" t="s">
        <v>274</v>
      </c>
      <c r="C98" t="s">
        <v>229</v>
      </c>
      <c r="D98" t="s">
        <v>12</v>
      </c>
      <c r="E98" t="s">
        <v>41</v>
      </c>
      <c r="F98">
        <v>12</v>
      </c>
      <c r="G98">
        <v>6679</v>
      </c>
      <c r="H98">
        <f t="shared" ref="H98:H129" si="5">F98*G98</f>
        <v>80148</v>
      </c>
      <c r="I98" t="str">
        <f t="shared" si="4"/>
        <v>December</v>
      </c>
    </row>
    <row r="99" spans="1:9" x14ac:dyDescent="0.2">
      <c r="A99" s="3">
        <v>45465</v>
      </c>
      <c r="B99" t="s">
        <v>335</v>
      </c>
      <c r="C99" t="s">
        <v>191</v>
      </c>
      <c r="D99" t="s">
        <v>12</v>
      </c>
      <c r="E99" t="s">
        <v>22</v>
      </c>
      <c r="F99">
        <v>4</v>
      </c>
      <c r="G99">
        <v>3265</v>
      </c>
      <c r="H99">
        <f t="shared" si="5"/>
        <v>13060</v>
      </c>
      <c r="I99" t="str">
        <f t="shared" si="4"/>
        <v>June</v>
      </c>
    </row>
    <row r="100" spans="1:9" x14ac:dyDescent="0.2">
      <c r="A100" s="3">
        <v>45744</v>
      </c>
      <c r="B100" t="s">
        <v>336</v>
      </c>
      <c r="C100" t="s">
        <v>88</v>
      </c>
      <c r="D100" t="s">
        <v>12</v>
      </c>
      <c r="E100" t="s">
        <v>22</v>
      </c>
      <c r="F100">
        <v>5</v>
      </c>
      <c r="G100">
        <v>17259</v>
      </c>
      <c r="H100">
        <f t="shared" si="5"/>
        <v>86295</v>
      </c>
      <c r="I100" t="str">
        <f t="shared" si="4"/>
        <v>March</v>
      </c>
    </row>
    <row r="101" spans="1:9" x14ac:dyDescent="0.2">
      <c r="A101" s="3">
        <v>45383</v>
      </c>
      <c r="B101" t="s">
        <v>289</v>
      </c>
      <c r="C101" t="s">
        <v>220</v>
      </c>
      <c r="D101" t="s">
        <v>12</v>
      </c>
      <c r="E101" t="s">
        <v>292</v>
      </c>
      <c r="F101">
        <v>15</v>
      </c>
      <c r="G101">
        <v>15276</v>
      </c>
      <c r="H101">
        <f t="shared" si="5"/>
        <v>229140</v>
      </c>
      <c r="I101" t="str">
        <f t="shared" si="4"/>
        <v>April</v>
      </c>
    </row>
    <row r="102" spans="1:9" x14ac:dyDescent="0.2">
      <c r="A102" s="3">
        <v>45513</v>
      </c>
      <c r="B102" t="s">
        <v>337</v>
      </c>
      <c r="C102" t="s">
        <v>220</v>
      </c>
      <c r="D102" t="s">
        <v>12</v>
      </c>
      <c r="E102" t="s">
        <v>165</v>
      </c>
      <c r="F102">
        <v>22</v>
      </c>
      <c r="G102">
        <v>18710</v>
      </c>
      <c r="H102">
        <f t="shared" si="5"/>
        <v>411620</v>
      </c>
      <c r="I102" t="str">
        <f t="shared" si="4"/>
        <v>August</v>
      </c>
    </row>
    <row r="103" spans="1:9" x14ac:dyDescent="0.2">
      <c r="A103" s="3">
        <v>45491</v>
      </c>
      <c r="B103" t="s">
        <v>338</v>
      </c>
      <c r="C103" t="s">
        <v>220</v>
      </c>
      <c r="D103" t="s">
        <v>12</v>
      </c>
      <c r="E103" t="s">
        <v>165</v>
      </c>
      <c r="F103">
        <v>25</v>
      </c>
      <c r="G103">
        <v>14613</v>
      </c>
      <c r="H103">
        <f t="shared" si="5"/>
        <v>365325</v>
      </c>
      <c r="I103" t="str">
        <f t="shared" si="4"/>
        <v>July</v>
      </c>
    </row>
    <row r="104" spans="1:9" x14ac:dyDescent="0.2">
      <c r="A104" s="3">
        <v>45553</v>
      </c>
      <c r="B104" t="s">
        <v>277</v>
      </c>
      <c r="C104" t="s">
        <v>99</v>
      </c>
      <c r="D104" t="s">
        <v>12</v>
      </c>
      <c r="E104" t="s">
        <v>292</v>
      </c>
      <c r="F104">
        <v>14</v>
      </c>
      <c r="G104">
        <v>23530</v>
      </c>
      <c r="H104">
        <f t="shared" si="5"/>
        <v>329420</v>
      </c>
      <c r="I104" t="str">
        <f t="shared" si="4"/>
        <v>September</v>
      </c>
    </row>
    <row r="105" spans="1:9" x14ac:dyDescent="0.2">
      <c r="A105" s="3">
        <v>45491</v>
      </c>
      <c r="B105" t="s">
        <v>339</v>
      </c>
      <c r="C105" t="s">
        <v>220</v>
      </c>
      <c r="D105" t="s">
        <v>12</v>
      </c>
      <c r="E105" t="s">
        <v>165</v>
      </c>
      <c r="F105">
        <v>18</v>
      </c>
      <c r="G105">
        <v>1132</v>
      </c>
      <c r="H105">
        <f t="shared" si="5"/>
        <v>20376</v>
      </c>
      <c r="I105" t="str">
        <f t="shared" si="4"/>
        <v>July</v>
      </c>
    </row>
    <row r="106" spans="1:9" x14ac:dyDescent="0.2">
      <c r="A106" s="3">
        <v>45418</v>
      </c>
      <c r="B106" t="s">
        <v>278</v>
      </c>
      <c r="C106" t="s">
        <v>125</v>
      </c>
      <c r="D106" t="s">
        <v>31</v>
      </c>
      <c r="E106" t="s">
        <v>205</v>
      </c>
      <c r="F106">
        <v>18</v>
      </c>
      <c r="G106">
        <v>23853</v>
      </c>
      <c r="H106">
        <f t="shared" si="5"/>
        <v>429354</v>
      </c>
      <c r="I106" t="str">
        <f t="shared" si="4"/>
        <v>May</v>
      </c>
    </row>
    <row r="107" spans="1:9" x14ac:dyDescent="0.2">
      <c r="A107" s="3">
        <v>45418</v>
      </c>
      <c r="B107" t="s">
        <v>315</v>
      </c>
      <c r="C107" t="s">
        <v>191</v>
      </c>
      <c r="D107" t="s">
        <v>12</v>
      </c>
      <c r="E107" t="s">
        <v>165</v>
      </c>
      <c r="F107">
        <v>17</v>
      </c>
      <c r="G107">
        <v>10934</v>
      </c>
      <c r="H107">
        <f t="shared" si="5"/>
        <v>185878</v>
      </c>
      <c r="I107" t="str">
        <f t="shared" si="4"/>
        <v>May</v>
      </c>
    </row>
    <row r="108" spans="1:9" x14ac:dyDescent="0.2">
      <c r="A108" s="3">
        <v>45620</v>
      </c>
      <c r="B108" t="s">
        <v>337</v>
      </c>
      <c r="C108" t="s">
        <v>220</v>
      </c>
      <c r="D108" t="s">
        <v>12</v>
      </c>
      <c r="E108" t="s">
        <v>292</v>
      </c>
      <c r="F108">
        <v>6</v>
      </c>
      <c r="G108">
        <v>16776</v>
      </c>
      <c r="H108">
        <f t="shared" si="5"/>
        <v>100656</v>
      </c>
      <c r="I108" t="str">
        <f t="shared" si="4"/>
        <v>November</v>
      </c>
    </row>
    <row r="109" spans="1:9" x14ac:dyDescent="0.2">
      <c r="A109" s="3">
        <v>45404</v>
      </c>
      <c r="B109" t="s">
        <v>304</v>
      </c>
      <c r="C109" t="s">
        <v>220</v>
      </c>
      <c r="D109" t="s">
        <v>12</v>
      </c>
      <c r="E109" t="s">
        <v>41</v>
      </c>
      <c r="F109">
        <v>22</v>
      </c>
      <c r="G109">
        <v>8976</v>
      </c>
      <c r="H109">
        <f t="shared" si="5"/>
        <v>197472</v>
      </c>
      <c r="I109" t="str">
        <f t="shared" si="4"/>
        <v>April</v>
      </c>
    </row>
    <row r="110" spans="1:9" x14ac:dyDescent="0.2">
      <c r="A110" s="3">
        <v>45650</v>
      </c>
      <c r="B110" t="s">
        <v>340</v>
      </c>
      <c r="C110" t="s">
        <v>191</v>
      </c>
      <c r="D110" t="s">
        <v>12</v>
      </c>
      <c r="E110" t="s">
        <v>205</v>
      </c>
      <c r="F110">
        <v>14</v>
      </c>
      <c r="G110">
        <v>24754</v>
      </c>
      <c r="H110">
        <f t="shared" si="5"/>
        <v>346556</v>
      </c>
      <c r="I110" t="str">
        <f t="shared" si="4"/>
        <v>December</v>
      </c>
    </row>
    <row r="111" spans="1:9" x14ac:dyDescent="0.2">
      <c r="A111" s="3">
        <v>45740</v>
      </c>
      <c r="B111" t="s">
        <v>341</v>
      </c>
      <c r="C111" t="s">
        <v>229</v>
      </c>
      <c r="D111" t="s">
        <v>12</v>
      </c>
      <c r="E111" t="s">
        <v>41</v>
      </c>
      <c r="F111">
        <v>23</v>
      </c>
      <c r="G111">
        <v>5989</v>
      </c>
      <c r="H111">
        <f t="shared" si="5"/>
        <v>137747</v>
      </c>
      <c r="I111" t="str">
        <f t="shared" si="4"/>
        <v>March</v>
      </c>
    </row>
    <row r="112" spans="1:9" x14ac:dyDescent="0.2">
      <c r="A112" s="3">
        <v>45643</v>
      </c>
      <c r="B112" t="s">
        <v>342</v>
      </c>
      <c r="C112" t="s">
        <v>122</v>
      </c>
      <c r="D112" t="s">
        <v>31</v>
      </c>
      <c r="E112" t="s">
        <v>292</v>
      </c>
      <c r="F112">
        <v>17</v>
      </c>
      <c r="G112">
        <v>9554</v>
      </c>
      <c r="H112">
        <f t="shared" si="5"/>
        <v>162418</v>
      </c>
      <c r="I112" t="str">
        <f t="shared" si="4"/>
        <v>December</v>
      </c>
    </row>
    <row r="113" spans="1:9" x14ac:dyDescent="0.2">
      <c r="A113" s="3">
        <v>45513</v>
      </c>
      <c r="B113" t="s">
        <v>321</v>
      </c>
      <c r="C113" t="s">
        <v>247</v>
      </c>
      <c r="D113" t="s">
        <v>31</v>
      </c>
      <c r="E113" t="s">
        <v>41</v>
      </c>
      <c r="F113">
        <v>12</v>
      </c>
      <c r="G113">
        <v>14932</v>
      </c>
      <c r="H113">
        <f t="shared" si="5"/>
        <v>179184</v>
      </c>
      <c r="I113" t="str">
        <f t="shared" si="4"/>
        <v>August</v>
      </c>
    </row>
    <row r="114" spans="1:9" x14ac:dyDescent="0.2">
      <c r="A114" s="3">
        <v>45597</v>
      </c>
      <c r="B114" t="s">
        <v>274</v>
      </c>
      <c r="C114" t="s">
        <v>197</v>
      </c>
      <c r="D114" t="s">
        <v>31</v>
      </c>
      <c r="E114" t="s">
        <v>106</v>
      </c>
      <c r="F114">
        <v>16</v>
      </c>
      <c r="G114">
        <v>1751</v>
      </c>
      <c r="H114">
        <f t="shared" si="5"/>
        <v>28016</v>
      </c>
      <c r="I114" t="str">
        <f t="shared" si="4"/>
        <v>November</v>
      </c>
    </row>
    <row r="115" spans="1:9" x14ac:dyDescent="0.2">
      <c r="A115" s="3">
        <v>45468</v>
      </c>
      <c r="B115" t="s">
        <v>296</v>
      </c>
      <c r="C115" t="s">
        <v>88</v>
      </c>
      <c r="D115" t="s">
        <v>12</v>
      </c>
      <c r="E115" t="s">
        <v>106</v>
      </c>
      <c r="F115">
        <v>2</v>
      </c>
      <c r="G115">
        <v>6194</v>
      </c>
      <c r="H115">
        <f t="shared" si="5"/>
        <v>12388</v>
      </c>
      <c r="I115" t="str">
        <f t="shared" si="4"/>
        <v>June</v>
      </c>
    </row>
    <row r="116" spans="1:9" x14ac:dyDescent="0.2">
      <c r="A116" s="3">
        <v>45549</v>
      </c>
      <c r="B116" t="s">
        <v>343</v>
      </c>
      <c r="C116" t="s">
        <v>143</v>
      </c>
      <c r="D116" t="s">
        <v>31</v>
      </c>
      <c r="E116" t="s">
        <v>106</v>
      </c>
      <c r="F116">
        <v>5</v>
      </c>
      <c r="G116">
        <v>8801</v>
      </c>
      <c r="H116">
        <f t="shared" si="5"/>
        <v>44005</v>
      </c>
      <c r="I116" t="str">
        <f t="shared" si="4"/>
        <v>September</v>
      </c>
    </row>
    <row r="117" spans="1:9" x14ac:dyDescent="0.2">
      <c r="A117" s="3">
        <v>45724</v>
      </c>
      <c r="B117" t="s">
        <v>344</v>
      </c>
      <c r="C117" t="s">
        <v>220</v>
      </c>
      <c r="D117" t="s">
        <v>12</v>
      </c>
      <c r="E117" t="s">
        <v>110</v>
      </c>
      <c r="F117">
        <v>7</v>
      </c>
      <c r="G117">
        <v>14577</v>
      </c>
      <c r="H117">
        <f t="shared" si="5"/>
        <v>102039</v>
      </c>
      <c r="I117" t="str">
        <f t="shared" si="4"/>
        <v>March</v>
      </c>
    </row>
    <row r="118" spans="1:9" x14ac:dyDescent="0.2">
      <c r="A118" s="3">
        <v>45707</v>
      </c>
      <c r="B118" t="s">
        <v>274</v>
      </c>
      <c r="C118" t="s">
        <v>229</v>
      </c>
      <c r="D118" t="s">
        <v>12</v>
      </c>
      <c r="E118" t="s">
        <v>41</v>
      </c>
      <c r="F118">
        <v>7</v>
      </c>
      <c r="G118">
        <v>5628</v>
      </c>
      <c r="H118">
        <f t="shared" si="5"/>
        <v>39396</v>
      </c>
      <c r="I118" t="str">
        <f t="shared" si="4"/>
        <v>February</v>
      </c>
    </row>
    <row r="119" spans="1:9" x14ac:dyDescent="0.2">
      <c r="A119" s="3">
        <v>45714</v>
      </c>
      <c r="B119" t="s">
        <v>300</v>
      </c>
      <c r="C119" t="s">
        <v>197</v>
      </c>
      <c r="D119" t="s">
        <v>31</v>
      </c>
      <c r="E119" t="s">
        <v>165</v>
      </c>
      <c r="F119">
        <v>14</v>
      </c>
      <c r="G119">
        <v>16610</v>
      </c>
      <c r="H119">
        <f t="shared" si="5"/>
        <v>232540</v>
      </c>
      <c r="I119" t="str">
        <f t="shared" si="4"/>
        <v>February</v>
      </c>
    </row>
    <row r="120" spans="1:9" x14ac:dyDescent="0.2">
      <c r="A120" s="3">
        <v>45589</v>
      </c>
      <c r="B120" t="s">
        <v>317</v>
      </c>
      <c r="C120" t="s">
        <v>16</v>
      </c>
      <c r="D120" t="s">
        <v>31</v>
      </c>
      <c r="E120" t="s">
        <v>22</v>
      </c>
      <c r="F120">
        <v>20</v>
      </c>
      <c r="G120">
        <v>3486</v>
      </c>
      <c r="H120">
        <f t="shared" si="5"/>
        <v>69720</v>
      </c>
      <c r="I120" t="str">
        <f t="shared" si="4"/>
        <v>October</v>
      </c>
    </row>
    <row r="121" spans="1:9" x14ac:dyDescent="0.2">
      <c r="A121" s="3">
        <v>45727</v>
      </c>
      <c r="B121" t="s">
        <v>331</v>
      </c>
      <c r="C121" t="s">
        <v>254</v>
      </c>
      <c r="D121" t="s">
        <v>31</v>
      </c>
      <c r="E121" t="s">
        <v>182</v>
      </c>
      <c r="F121">
        <v>8</v>
      </c>
      <c r="G121">
        <v>7078</v>
      </c>
      <c r="H121">
        <f t="shared" si="5"/>
        <v>56624</v>
      </c>
      <c r="I121" t="str">
        <f t="shared" si="4"/>
        <v>March</v>
      </c>
    </row>
    <row r="122" spans="1:9" x14ac:dyDescent="0.2">
      <c r="A122" s="3">
        <v>45613</v>
      </c>
      <c r="B122" t="s">
        <v>279</v>
      </c>
      <c r="C122" t="s">
        <v>220</v>
      </c>
      <c r="D122" t="s">
        <v>12</v>
      </c>
      <c r="E122" t="s">
        <v>165</v>
      </c>
      <c r="F122">
        <v>23</v>
      </c>
      <c r="G122">
        <v>10064</v>
      </c>
      <c r="H122">
        <f t="shared" si="5"/>
        <v>231472</v>
      </c>
      <c r="I122" t="str">
        <f t="shared" si="4"/>
        <v>November</v>
      </c>
    </row>
    <row r="123" spans="1:9" x14ac:dyDescent="0.2">
      <c r="A123" s="3">
        <v>45456</v>
      </c>
      <c r="B123" t="s">
        <v>290</v>
      </c>
      <c r="C123" t="s">
        <v>99</v>
      </c>
      <c r="D123" t="s">
        <v>12</v>
      </c>
      <c r="E123" t="s">
        <v>205</v>
      </c>
      <c r="F123">
        <v>9</v>
      </c>
      <c r="G123">
        <v>11893</v>
      </c>
      <c r="H123">
        <f t="shared" si="5"/>
        <v>107037</v>
      </c>
      <c r="I123" t="str">
        <f t="shared" si="4"/>
        <v>June</v>
      </c>
    </row>
    <row r="124" spans="1:9" x14ac:dyDescent="0.2">
      <c r="A124" s="3">
        <v>45729</v>
      </c>
      <c r="B124" t="s">
        <v>324</v>
      </c>
      <c r="C124" t="s">
        <v>247</v>
      </c>
      <c r="D124" t="s">
        <v>31</v>
      </c>
      <c r="E124" t="s">
        <v>182</v>
      </c>
      <c r="F124">
        <v>7</v>
      </c>
      <c r="G124">
        <v>8423</v>
      </c>
      <c r="H124">
        <f t="shared" si="5"/>
        <v>58961</v>
      </c>
      <c r="I124" t="str">
        <f t="shared" si="4"/>
        <v>March</v>
      </c>
    </row>
    <row r="125" spans="1:9" x14ac:dyDescent="0.2">
      <c r="A125" s="3">
        <v>45485</v>
      </c>
      <c r="B125" t="s">
        <v>280</v>
      </c>
      <c r="C125" t="s">
        <v>220</v>
      </c>
      <c r="D125" t="s">
        <v>12</v>
      </c>
      <c r="E125" t="s">
        <v>41</v>
      </c>
      <c r="F125">
        <v>1</v>
      </c>
      <c r="G125">
        <v>22427</v>
      </c>
      <c r="H125">
        <f t="shared" si="5"/>
        <v>22427</v>
      </c>
      <c r="I125" t="str">
        <f t="shared" si="4"/>
        <v>July</v>
      </c>
    </row>
    <row r="126" spans="1:9" x14ac:dyDescent="0.2">
      <c r="A126" s="3">
        <v>45418</v>
      </c>
      <c r="B126" t="s">
        <v>282</v>
      </c>
      <c r="C126" t="s">
        <v>264</v>
      </c>
      <c r="D126" t="s">
        <v>31</v>
      </c>
      <c r="E126" t="s">
        <v>110</v>
      </c>
      <c r="F126">
        <v>9</v>
      </c>
      <c r="G126">
        <v>18090</v>
      </c>
      <c r="H126">
        <f t="shared" si="5"/>
        <v>162810</v>
      </c>
      <c r="I126" t="str">
        <f t="shared" si="4"/>
        <v>May</v>
      </c>
    </row>
    <row r="127" spans="1:9" x14ac:dyDescent="0.2">
      <c r="A127" s="3">
        <v>45641</v>
      </c>
      <c r="B127" t="s">
        <v>323</v>
      </c>
      <c r="C127" t="s">
        <v>16</v>
      </c>
      <c r="D127" t="s">
        <v>31</v>
      </c>
      <c r="E127" t="s">
        <v>41</v>
      </c>
      <c r="F127">
        <v>15</v>
      </c>
      <c r="G127">
        <v>20109</v>
      </c>
      <c r="H127">
        <f t="shared" si="5"/>
        <v>301635</v>
      </c>
      <c r="I127" t="str">
        <f t="shared" si="4"/>
        <v>December</v>
      </c>
    </row>
    <row r="128" spans="1:9" x14ac:dyDescent="0.2">
      <c r="A128" s="3">
        <v>45715</v>
      </c>
      <c r="B128" t="s">
        <v>340</v>
      </c>
      <c r="C128" t="s">
        <v>88</v>
      </c>
      <c r="D128" t="s">
        <v>12</v>
      </c>
      <c r="E128" t="s">
        <v>182</v>
      </c>
      <c r="F128">
        <v>8</v>
      </c>
      <c r="G128">
        <v>8162</v>
      </c>
      <c r="H128">
        <f t="shared" si="5"/>
        <v>65296</v>
      </c>
      <c r="I128" t="str">
        <f t="shared" si="4"/>
        <v>February</v>
      </c>
    </row>
    <row r="129" spans="1:9" x14ac:dyDescent="0.2">
      <c r="A129" s="3">
        <v>45538</v>
      </c>
      <c r="B129" t="s">
        <v>345</v>
      </c>
      <c r="C129" t="s">
        <v>16</v>
      </c>
      <c r="D129" t="s">
        <v>31</v>
      </c>
      <c r="E129" t="s">
        <v>106</v>
      </c>
      <c r="F129">
        <v>20</v>
      </c>
      <c r="G129">
        <v>20333</v>
      </c>
      <c r="H129">
        <f t="shared" si="5"/>
        <v>406660</v>
      </c>
      <c r="I129" t="str">
        <f t="shared" si="4"/>
        <v>September</v>
      </c>
    </row>
    <row r="130" spans="1:9" x14ac:dyDescent="0.2">
      <c r="A130" s="3">
        <v>45537</v>
      </c>
      <c r="B130" t="s">
        <v>346</v>
      </c>
      <c r="C130" t="s">
        <v>264</v>
      </c>
      <c r="D130" t="s">
        <v>31</v>
      </c>
      <c r="E130" t="s">
        <v>22</v>
      </c>
      <c r="F130">
        <v>18</v>
      </c>
      <c r="G130">
        <v>10372</v>
      </c>
      <c r="H130">
        <f t="shared" ref="H130:H141" si="6">F130*G130</f>
        <v>186696</v>
      </c>
      <c r="I130" t="str">
        <f t="shared" si="4"/>
        <v>September</v>
      </c>
    </row>
    <row r="131" spans="1:9" x14ac:dyDescent="0.2">
      <c r="A131" s="3">
        <v>45636</v>
      </c>
      <c r="B131" t="s">
        <v>335</v>
      </c>
      <c r="C131" t="s">
        <v>99</v>
      </c>
      <c r="D131" t="s">
        <v>12</v>
      </c>
      <c r="E131" t="s">
        <v>22</v>
      </c>
      <c r="F131">
        <v>15</v>
      </c>
      <c r="G131">
        <v>3685</v>
      </c>
      <c r="H131">
        <f t="shared" si="6"/>
        <v>55275</v>
      </c>
      <c r="I131" t="str">
        <f t="shared" ref="I131:I141" si="7">TEXT(A131,"mmmm")</f>
        <v>December</v>
      </c>
    </row>
    <row r="132" spans="1:9" x14ac:dyDescent="0.2">
      <c r="A132" s="3">
        <v>45633</v>
      </c>
      <c r="B132" t="s">
        <v>347</v>
      </c>
      <c r="C132" t="s">
        <v>247</v>
      </c>
      <c r="D132" t="s">
        <v>31</v>
      </c>
      <c r="E132" t="s">
        <v>110</v>
      </c>
      <c r="F132">
        <v>14</v>
      </c>
      <c r="G132">
        <v>6571</v>
      </c>
      <c r="H132">
        <f t="shared" si="6"/>
        <v>91994</v>
      </c>
      <c r="I132" t="str">
        <f t="shared" si="7"/>
        <v>December</v>
      </c>
    </row>
    <row r="133" spans="1:9" x14ac:dyDescent="0.2">
      <c r="A133" s="3">
        <v>45739</v>
      </c>
      <c r="B133" t="s">
        <v>285</v>
      </c>
      <c r="C133" t="s">
        <v>247</v>
      </c>
      <c r="D133" t="s">
        <v>31</v>
      </c>
      <c r="E133" t="s">
        <v>292</v>
      </c>
      <c r="F133">
        <v>10</v>
      </c>
      <c r="G133">
        <v>13579</v>
      </c>
      <c r="H133">
        <f t="shared" si="6"/>
        <v>135790</v>
      </c>
      <c r="I133" t="str">
        <f t="shared" si="7"/>
        <v>March</v>
      </c>
    </row>
    <row r="134" spans="1:9" x14ac:dyDescent="0.2">
      <c r="A134" s="3">
        <v>45542</v>
      </c>
      <c r="B134" t="s">
        <v>312</v>
      </c>
      <c r="C134" t="s">
        <v>247</v>
      </c>
      <c r="D134" t="s">
        <v>31</v>
      </c>
      <c r="E134" t="s">
        <v>182</v>
      </c>
      <c r="F134">
        <v>15</v>
      </c>
      <c r="G134">
        <v>4649</v>
      </c>
      <c r="H134">
        <f t="shared" si="6"/>
        <v>69735</v>
      </c>
      <c r="I134" t="str">
        <f t="shared" si="7"/>
        <v>September</v>
      </c>
    </row>
    <row r="135" spans="1:9" x14ac:dyDescent="0.2">
      <c r="A135" s="3">
        <v>45736</v>
      </c>
      <c r="B135" t="s">
        <v>280</v>
      </c>
      <c r="C135" t="s">
        <v>88</v>
      </c>
      <c r="D135" t="s">
        <v>12</v>
      </c>
      <c r="E135" t="s">
        <v>106</v>
      </c>
      <c r="F135">
        <v>16</v>
      </c>
      <c r="G135">
        <v>4294</v>
      </c>
      <c r="H135">
        <f t="shared" si="6"/>
        <v>68704</v>
      </c>
      <c r="I135" t="str">
        <f t="shared" si="7"/>
        <v>March</v>
      </c>
    </row>
    <row r="136" spans="1:9" x14ac:dyDescent="0.2">
      <c r="A136" s="3">
        <v>45505</v>
      </c>
      <c r="B136" t="s">
        <v>348</v>
      </c>
      <c r="C136" t="s">
        <v>16</v>
      </c>
      <c r="D136" t="s">
        <v>31</v>
      </c>
      <c r="E136" t="s">
        <v>182</v>
      </c>
      <c r="F136">
        <v>24</v>
      </c>
      <c r="G136">
        <v>16724</v>
      </c>
      <c r="H136">
        <f t="shared" si="6"/>
        <v>401376</v>
      </c>
      <c r="I136" t="str">
        <f t="shared" si="7"/>
        <v>August</v>
      </c>
    </row>
    <row r="137" spans="1:9" x14ac:dyDescent="0.2">
      <c r="A137" s="3">
        <v>45554</v>
      </c>
      <c r="B137" t="s">
        <v>277</v>
      </c>
      <c r="C137" t="s">
        <v>191</v>
      </c>
      <c r="D137" t="s">
        <v>12</v>
      </c>
      <c r="E137" t="s">
        <v>110</v>
      </c>
      <c r="F137">
        <v>8</v>
      </c>
      <c r="G137">
        <v>13351</v>
      </c>
      <c r="H137">
        <f t="shared" si="6"/>
        <v>106808</v>
      </c>
      <c r="I137" t="str">
        <f t="shared" si="7"/>
        <v>September</v>
      </c>
    </row>
    <row r="138" spans="1:9" x14ac:dyDescent="0.2">
      <c r="A138" s="3">
        <v>45463</v>
      </c>
      <c r="B138" t="s">
        <v>283</v>
      </c>
      <c r="C138" t="s">
        <v>264</v>
      </c>
      <c r="D138" t="s">
        <v>31</v>
      </c>
      <c r="E138" t="s">
        <v>110</v>
      </c>
      <c r="F138">
        <v>1</v>
      </c>
      <c r="G138">
        <v>14186</v>
      </c>
      <c r="H138">
        <f t="shared" si="6"/>
        <v>14186</v>
      </c>
      <c r="I138" t="str">
        <f t="shared" si="7"/>
        <v>June</v>
      </c>
    </row>
    <row r="139" spans="1:9" x14ac:dyDescent="0.2">
      <c r="A139" s="3">
        <v>45453</v>
      </c>
      <c r="B139" t="s">
        <v>299</v>
      </c>
      <c r="C139" t="s">
        <v>229</v>
      </c>
      <c r="D139" t="s">
        <v>12</v>
      </c>
      <c r="E139" t="s">
        <v>110</v>
      </c>
      <c r="F139">
        <v>21</v>
      </c>
      <c r="G139">
        <v>6042</v>
      </c>
      <c r="H139">
        <f t="shared" si="6"/>
        <v>126882</v>
      </c>
      <c r="I139" t="str">
        <f t="shared" si="7"/>
        <v>June</v>
      </c>
    </row>
    <row r="140" spans="1:9" x14ac:dyDescent="0.2">
      <c r="A140" s="3">
        <v>45647</v>
      </c>
      <c r="B140" t="s">
        <v>289</v>
      </c>
      <c r="C140" t="s">
        <v>122</v>
      </c>
      <c r="D140" t="s">
        <v>31</v>
      </c>
      <c r="E140" t="s">
        <v>205</v>
      </c>
      <c r="F140">
        <v>18</v>
      </c>
      <c r="G140">
        <v>8674</v>
      </c>
      <c r="H140">
        <f t="shared" si="6"/>
        <v>156132</v>
      </c>
      <c r="I140" t="str">
        <f t="shared" si="7"/>
        <v>December</v>
      </c>
    </row>
    <row r="141" spans="1:9" x14ac:dyDescent="0.2">
      <c r="A141" s="3">
        <v>45588</v>
      </c>
      <c r="B141" t="s">
        <v>349</v>
      </c>
      <c r="C141" t="s">
        <v>229</v>
      </c>
      <c r="D141" t="s">
        <v>12</v>
      </c>
      <c r="E141" t="s">
        <v>110</v>
      </c>
      <c r="F141">
        <v>5</v>
      </c>
      <c r="G141">
        <v>19243</v>
      </c>
      <c r="H141">
        <f t="shared" si="6"/>
        <v>96215</v>
      </c>
      <c r="I141" t="str">
        <f t="shared" si="7"/>
        <v>October</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
  <sheetViews>
    <sheetView workbookViewId="0">
      <selection activeCell="K3" sqref="K3"/>
    </sheetView>
  </sheetViews>
  <sheetFormatPr baseColWidth="10" defaultColWidth="8.83203125" defaultRowHeight="15" x14ac:dyDescent="0.2"/>
  <cols>
    <col min="1" max="1" width="20.1640625" bestFit="1" customWidth="1"/>
    <col min="2" max="2" width="15.33203125" bestFit="1" customWidth="1"/>
    <col min="4" max="4" width="12.1640625" bestFit="1" customWidth="1"/>
    <col min="5" max="5" width="15.33203125" bestFit="1" customWidth="1"/>
    <col min="7" max="7" width="16.33203125" bestFit="1" customWidth="1"/>
    <col min="8" max="8" width="14.33203125" bestFit="1" customWidth="1"/>
    <col min="9" max="9" width="9.83203125" customWidth="1"/>
    <col min="10" max="10" width="9" bestFit="1" customWidth="1"/>
    <col min="11" max="11" width="20.33203125" customWidth="1"/>
  </cols>
  <sheetData>
    <row r="1" spans="1:12" x14ac:dyDescent="0.2">
      <c r="A1" s="7" t="s">
        <v>350</v>
      </c>
      <c r="B1" s="7" t="s">
        <v>351</v>
      </c>
      <c r="D1" s="36" t="s">
        <v>352</v>
      </c>
      <c r="E1" s="36"/>
      <c r="G1" s="37" t="s">
        <v>353</v>
      </c>
      <c r="H1" s="37"/>
      <c r="J1" s="38" t="s">
        <v>354</v>
      </c>
      <c r="K1" s="38"/>
      <c r="L1" s="12"/>
    </row>
    <row r="2" spans="1:12" x14ac:dyDescent="0.2">
      <c r="A2" s="8" t="s">
        <v>355</v>
      </c>
      <c r="B2" s="18">
        <f>SUMIF('Clean Data'!H2:H141,"&gt;0")</f>
        <v>25569819</v>
      </c>
      <c r="D2" s="9" t="s">
        <v>5</v>
      </c>
      <c r="E2" s="9" t="s">
        <v>351</v>
      </c>
      <c r="G2" s="11" t="s">
        <v>3</v>
      </c>
      <c r="H2" s="11" t="s">
        <v>351</v>
      </c>
      <c r="J2" s="14" t="s">
        <v>4</v>
      </c>
      <c r="K2" s="14" t="s">
        <v>351</v>
      </c>
      <c r="L2" s="13"/>
    </row>
    <row r="3" spans="1:12" x14ac:dyDescent="0.2">
      <c r="A3" s="8" t="s">
        <v>356</v>
      </c>
      <c r="B3" s="15">
        <f>AVERAGEIF('Clean Data'!H2:H141,"&gt;0")</f>
        <v>182641.5642857143</v>
      </c>
      <c r="D3" s="8" t="s">
        <v>292</v>
      </c>
      <c r="E3" s="16">
        <f>SUMIF('Clean Data'!E2:E141,"Haryana",'Clean Data'!H2:H141)</f>
        <v>2224992</v>
      </c>
      <c r="G3" s="8" t="s">
        <v>191</v>
      </c>
      <c r="H3" s="15">
        <f>SUMIF('Clean Data'!C2:C141,Calculation!G3,'Clean Data'!H2:H141)</f>
        <v>1988223</v>
      </c>
      <c r="J3" s="8" t="s">
        <v>31</v>
      </c>
      <c r="K3" s="15">
        <f>AVERAGEIF('Clean Data'!D2:D141,Calculation!J3,'Clean Data'!G2:G141)</f>
        <v>13691.253731343284</v>
      </c>
    </row>
    <row r="4" spans="1:12" x14ac:dyDescent="0.2">
      <c r="A4" s="8" t="s">
        <v>357</v>
      </c>
      <c r="B4" s="15">
        <f>SUMIF('Clean Data'!F2:F141,"&gt;0")</f>
        <v>1875</v>
      </c>
      <c r="D4" s="10" t="s">
        <v>41</v>
      </c>
      <c r="E4" s="16">
        <f>SUMIF('Clean Data'!E2:E141,"Gujarat",'Clean Data'!H2:H141)</f>
        <v>3472698</v>
      </c>
      <c r="G4" s="8" t="s">
        <v>16</v>
      </c>
      <c r="H4" s="15">
        <f>SUMIF('Clean Data'!C2:C141,Calculation!G4,'Clean Data'!H2:H141)</f>
        <v>2921225</v>
      </c>
      <c r="J4" s="21" t="s">
        <v>12</v>
      </c>
      <c r="K4" s="22">
        <f>AVERAGEIF('Clean Data'!D2:D141,Calculation!J4,'Clean Data'!G2:G141)</f>
        <v>13744.095890410959</v>
      </c>
    </row>
    <row r="5" spans="1:12" x14ac:dyDescent="0.2">
      <c r="A5" s="8" t="s">
        <v>358</v>
      </c>
      <c r="B5" s="15">
        <f>MAX('Clean Data'!H2:H141)</f>
        <v>570725</v>
      </c>
      <c r="D5" s="10" t="s">
        <v>110</v>
      </c>
      <c r="E5" s="16">
        <f>SUMIF('Clean Data'!E2:E141,"Maharashtra",'Clean Data'!H2:H141)</f>
        <v>2519188</v>
      </c>
      <c r="G5" s="8" t="s">
        <v>125</v>
      </c>
      <c r="H5" s="15">
        <f>SUMIF('Clean Data'!C2:C141,Calculation!G5,'Clean Data'!H2:H141)</f>
        <v>1605258</v>
      </c>
      <c r="J5" s="8" t="s">
        <v>351</v>
      </c>
      <c r="K5" s="23">
        <f>SUM(K3:K4)</f>
        <v>27435.349621754242</v>
      </c>
    </row>
    <row r="6" spans="1:12" x14ac:dyDescent="0.2">
      <c r="A6" s="8" t="s">
        <v>359</v>
      </c>
      <c r="B6" s="15">
        <f>MIN('Clean Data'!H2:H141)</f>
        <v>2307</v>
      </c>
      <c r="D6" s="10" t="s">
        <v>22</v>
      </c>
      <c r="E6" s="16">
        <f>SUMIF('Clean Data'!E2:E141,Calculation!D6,'Clean Data'!H2:H141)</f>
        <v>3056764</v>
      </c>
      <c r="G6" s="8" t="s">
        <v>247</v>
      </c>
      <c r="H6" s="15">
        <f>SUMIF('Clean Data'!C2:C141,Calculation!G6,'Clean Data'!H2:H141)</f>
        <v>1504929</v>
      </c>
    </row>
    <row r="7" spans="1:12" x14ac:dyDescent="0.2">
      <c r="A7" s="8" t="s">
        <v>360</v>
      </c>
      <c r="B7" s="15">
        <f>SUMIF('Clean Data'!D2:D141,"Metal",'Clean Data'!H2:H141)</f>
        <v>13557066</v>
      </c>
      <c r="D7" s="10" t="s">
        <v>165</v>
      </c>
      <c r="E7" s="16">
        <f>SUMIF('Clean Data'!E2:E141,Calculation!D7,'Clean Data'!H2:H141)</f>
        <v>7163133</v>
      </c>
      <c r="G7" s="8" t="s">
        <v>88</v>
      </c>
      <c r="H7" s="15">
        <f>SUMIF('Clean Data'!C2:C141,Calculation!G7,'Clean Data'!H2:H141)</f>
        <v>2304693</v>
      </c>
    </row>
    <row r="8" spans="1:12" x14ac:dyDescent="0.2">
      <c r="A8" s="8" t="s">
        <v>361</v>
      </c>
      <c r="B8" s="15">
        <f>SUMIF('Clean Data'!D2:D141,"Furniture",'Clean Data'!H2:H141)</f>
        <v>12012753</v>
      </c>
      <c r="D8" s="10" t="s">
        <v>182</v>
      </c>
      <c r="E8" s="17">
        <f>SUMIF('Clean Data'!E2:E141,Calculation!D8,'Clean Data'!H2:H141)</f>
        <v>1392735</v>
      </c>
      <c r="G8" s="8" t="s">
        <v>122</v>
      </c>
      <c r="H8" s="15">
        <f>SUMIF('Clean Data'!C2:C141,Calculation!G8,'Clean Data'!H2:H141)</f>
        <v>1456575</v>
      </c>
    </row>
    <row r="9" spans="1:12" x14ac:dyDescent="0.2">
      <c r="A9" s="5"/>
      <c r="B9" s="6"/>
      <c r="D9" s="10" t="s">
        <v>106</v>
      </c>
      <c r="E9" s="17">
        <f>SUMIF('Clean Data'!E2:E141,Calculation!D9,'Clean Data'!H2:H141)</f>
        <v>3855288</v>
      </c>
      <c r="G9" s="8" t="s">
        <v>99</v>
      </c>
      <c r="H9" s="15">
        <f>SUMIF('Clean Data'!C2:C141,Calculation!G9,'Clean Data'!H2:H141)</f>
        <v>1805653</v>
      </c>
    </row>
    <row r="10" spans="1:12" x14ac:dyDescent="0.2">
      <c r="D10" s="19" t="s">
        <v>205</v>
      </c>
      <c r="E10" s="20">
        <f>SUMIF('Clean Data'!E2:E141,Calculation!D10,'Clean Data'!H2:H141)</f>
        <v>1885021</v>
      </c>
      <c r="G10" s="8" t="s">
        <v>80</v>
      </c>
      <c r="H10" s="15">
        <f>SUMIF('Clean Data'!C2:C141,Calculation!G10,'Clean Data'!H2:H141)</f>
        <v>1242730</v>
      </c>
    </row>
    <row r="11" spans="1:12" x14ac:dyDescent="0.2">
      <c r="D11" s="30" t="s">
        <v>351</v>
      </c>
      <c r="E11" s="31">
        <f>SUM(E3:E10)</f>
        <v>25569819</v>
      </c>
      <c r="G11" s="8" t="s">
        <v>220</v>
      </c>
      <c r="H11" s="15">
        <f>SUMIF('Clean Data'!C2:C141,Calculation!G11,'Clean Data'!H2:H141)</f>
        <v>2890723</v>
      </c>
    </row>
    <row r="12" spans="1:12" x14ac:dyDescent="0.2">
      <c r="G12" s="8" t="s">
        <v>264</v>
      </c>
      <c r="H12" s="15">
        <f>SUMIF('Clean Data'!C2:C141,Calculation!G12,'Clean Data'!H2:H141)</f>
        <v>1030457</v>
      </c>
    </row>
    <row r="13" spans="1:12" x14ac:dyDescent="0.2">
      <c r="A13" s="24" t="s">
        <v>362</v>
      </c>
      <c r="B13" s="25">
        <f>B2*0.2</f>
        <v>5113963.8000000007</v>
      </c>
      <c r="G13" s="8" t="s">
        <v>229</v>
      </c>
      <c r="H13" s="15">
        <f>SUMIF('Clean Data'!C2:C141,Calculation!G13,'Clean Data'!H2:H141)</f>
        <v>3325044</v>
      </c>
    </row>
    <row r="14" spans="1:12" x14ac:dyDescent="0.2">
      <c r="G14" s="8" t="s">
        <v>197</v>
      </c>
      <c r="H14" s="15">
        <f>SUMIF('Clean Data'!C2:C141,Calculation!G14,'Clean Data'!H2:H141)</f>
        <v>1989375</v>
      </c>
    </row>
    <row r="15" spans="1:12" x14ac:dyDescent="0.2">
      <c r="G15" s="8" t="s">
        <v>143</v>
      </c>
      <c r="H15" s="15">
        <f>SUMIF('Clean Data'!C2:C141,Calculation!G15,'Clean Data'!H2:H141)</f>
        <v>1008179</v>
      </c>
    </row>
    <row r="16" spans="1:12" x14ac:dyDescent="0.2">
      <c r="G16" s="21" t="s">
        <v>254</v>
      </c>
      <c r="H16" s="22">
        <f>SUMIF('Clean Data'!C2:C141,Calculation!G16,'Clean Data'!H2:H141)</f>
        <v>496755</v>
      </c>
    </row>
    <row r="17" spans="7:8" x14ac:dyDescent="0.2">
      <c r="G17" s="30" t="s">
        <v>351</v>
      </c>
      <c r="H17" s="32">
        <f>SUM(H3:H16)</f>
        <v>25569819</v>
      </c>
    </row>
  </sheetData>
  <mergeCells count="3">
    <mergeCell ref="D1:E1"/>
    <mergeCell ref="G1:H1"/>
    <mergeCell ref="J1:K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3:B36"/>
  <sheetViews>
    <sheetView workbookViewId="0">
      <selection activeCell="B22" sqref="B22:B29"/>
    </sheetView>
  </sheetViews>
  <sheetFormatPr baseColWidth="10" defaultColWidth="8.83203125" defaultRowHeight="15" x14ac:dyDescent="0.2"/>
  <cols>
    <col min="1" max="1" width="17.6640625" bestFit="1" customWidth="1"/>
    <col min="2" max="2" width="18.83203125" bestFit="1" customWidth="1"/>
  </cols>
  <sheetData>
    <row r="3" spans="1:1" x14ac:dyDescent="0.2">
      <c r="A3" t="s">
        <v>364</v>
      </c>
    </row>
    <row r="4" spans="1:1" x14ac:dyDescent="0.2">
      <c r="A4" s="34">
        <v>25569819</v>
      </c>
    </row>
    <row r="6" spans="1:1" x14ac:dyDescent="0.2">
      <c r="A6" t="s">
        <v>367</v>
      </c>
    </row>
    <row r="7" spans="1:1" x14ac:dyDescent="0.2">
      <c r="A7" s="39">
        <v>1875</v>
      </c>
    </row>
    <row r="9" spans="1:1" x14ac:dyDescent="0.2">
      <c r="A9" t="s">
        <v>368</v>
      </c>
    </row>
    <row r="10" spans="1:1" x14ac:dyDescent="0.2">
      <c r="A10" s="34">
        <v>182641.5642857143</v>
      </c>
    </row>
    <row r="12" spans="1:1" x14ac:dyDescent="0.2">
      <c r="A12" t="s">
        <v>369</v>
      </c>
    </row>
    <row r="13" spans="1:1" x14ac:dyDescent="0.2">
      <c r="A13" s="34">
        <v>570725</v>
      </c>
    </row>
    <row r="15" spans="1:1" x14ac:dyDescent="0.2">
      <c r="A15" t="s">
        <v>370</v>
      </c>
    </row>
    <row r="16" spans="1:1" x14ac:dyDescent="0.2">
      <c r="A16" s="34">
        <v>2307</v>
      </c>
    </row>
    <row r="18" spans="1:2" x14ac:dyDescent="0.2">
      <c r="A18" t="s">
        <v>371</v>
      </c>
    </row>
    <row r="19" spans="1:2" x14ac:dyDescent="0.2">
      <c r="A19" s="39">
        <v>140</v>
      </c>
    </row>
    <row r="21" spans="1:2" x14ac:dyDescent="0.2">
      <c r="A21" s="33" t="s">
        <v>365</v>
      </c>
      <c r="B21" s="34" t="s">
        <v>364</v>
      </c>
    </row>
    <row r="22" spans="1:2" x14ac:dyDescent="0.2">
      <c r="A22" s="35" t="s">
        <v>191</v>
      </c>
      <c r="B22" s="34">
        <v>1988223</v>
      </c>
    </row>
    <row r="23" spans="1:2" x14ac:dyDescent="0.2">
      <c r="A23" s="35" t="s">
        <v>16</v>
      </c>
      <c r="B23" s="34">
        <v>2921225</v>
      </c>
    </row>
    <row r="24" spans="1:2" x14ac:dyDescent="0.2">
      <c r="A24" s="35" t="s">
        <v>125</v>
      </c>
      <c r="B24" s="34">
        <v>1605258</v>
      </c>
    </row>
    <row r="25" spans="1:2" x14ac:dyDescent="0.2">
      <c r="A25" s="35" t="s">
        <v>247</v>
      </c>
      <c r="B25" s="34">
        <v>1504929</v>
      </c>
    </row>
    <row r="26" spans="1:2" x14ac:dyDescent="0.2">
      <c r="A26" s="35" t="s">
        <v>88</v>
      </c>
      <c r="B26" s="34">
        <v>2304693</v>
      </c>
    </row>
    <row r="27" spans="1:2" x14ac:dyDescent="0.2">
      <c r="A27" s="35" t="s">
        <v>122</v>
      </c>
      <c r="B27" s="34">
        <v>1456575</v>
      </c>
    </row>
    <row r="28" spans="1:2" x14ac:dyDescent="0.2">
      <c r="A28" s="35" t="s">
        <v>99</v>
      </c>
      <c r="B28" s="34">
        <v>1805653</v>
      </c>
    </row>
    <row r="29" spans="1:2" x14ac:dyDescent="0.2">
      <c r="A29" s="35" t="s">
        <v>80</v>
      </c>
      <c r="B29" s="34">
        <v>1242730</v>
      </c>
    </row>
    <row r="30" spans="1:2" x14ac:dyDescent="0.2">
      <c r="A30" s="35" t="s">
        <v>220</v>
      </c>
      <c r="B30" s="34">
        <v>2890723</v>
      </c>
    </row>
    <row r="31" spans="1:2" x14ac:dyDescent="0.2">
      <c r="A31" s="35" t="s">
        <v>264</v>
      </c>
      <c r="B31" s="34">
        <v>1030457</v>
      </c>
    </row>
    <row r="32" spans="1:2" x14ac:dyDescent="0.2">
      <c r="A32" s="35" t="s">
        <v>229</v>
      </c>
      <c r="B32" s="34">
        <v>3325044</v>
      </c>
    </row>
    <row r="33" spans="1:2" x14ac:dyDescent="0.2">
      <c r="A33" s="35" t="s">
        <v>197</v>
      </c>
      <c r="B33" s="34">
        <v>1989375</v>
      </c>
    </row>
    <row r="34" spans="1:2" x14ac:dyDescent="0.2">
      <c r="A34" s="35" t="s">
        <v>143</v>
      </c>
      <c r="B34" s="34">
        <v>1008179</v>
      </c>
    </row>
    <row r="35" spans="1:2" x14ac:dyDescent="0.2">
      <c r="A35" s="35" t="s">
        <v>254</v>
      </c>
      <c r="B35" s="34">
        <v>496755</v>
      </c>
    </row>
    <row r="36" spans="1:2" x14ac:dyDescent="0.2">
      <c r="A36" s="35" t="s">
        <v>363</v>
      </c>
      <c r="B36" s="34">
        <v>25569819</v>
      </c>
    </row>
  </sheetData>
  <pageMargins left="0.7" right="0.7" top="0.75" bottom="0.75" header="0.3" footer="0.3"/>
  <drawing r:id="rId8"/>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3"/>
  <sheetViews>
    <sheetView workbookViewId="0">
      <selection activeCell="O4" sqref="O4"/>
    </sheetView>
  </sheetViews>
  <sheetFormatPr baseColWidth="10" defaultColWidth="8.83203125" defaultRowHeight="15" x14ac:dyDescent="0.2"/>
  <cols>
    <col min="1" max="1" width="13.1640625" bestFit="1" customWidth="1"/>
    <col min="2" max="2" width="18.83203125" bestFit="1" customWidth="1"/>
    <col min="9" max="9" width="14.6640625" bestFit="1" customWidth="1"/>
    <col min="10" max="10" width="17.6640625" bestFit="1" customWidth="1"/>
    <col min="11" max="11" width="18.33203125" bestFit="1" customWidth="1"/>
    <col min="12" max="12" width="12.1640625" bestFit="1" customWidth="1"/>
    <col min="13" max="13" width="14.33203125" bestFit="1" customWidth="1"/>
    <col min="15" max="16" width="10.5" customWidth="1"/>
  </cols>
  <sheetData>
    <row r="1" spans="1:16" x14ac:dyDescent="0.2">
      <c r="I1" s="26" t="s">
        <v>365</v>
      </c>
      <c r="J1" t="s">
        <v>364</v>
      </c>
      <c r="L1" s="26" t="s">
        <v>365</v>
      </c>
      <c r="M1" t="s">
        <v>367</v>
      </c>
    </row>
    <row r="2" spans="1:16" x14ac:dyDescent="0.2">
      <c r="I2" s="27" t="s">
        <v>31</v>
      </c>
      <c r="J2" s="39">
        <v>12012753</v>
      </c>
      <c r="L2" s="27" t="s">
        <v>22</v>
      </c>
      <c r="M2" s="39">
        <v>237</v>
      </c>
      <c r="O2" s="27" t="s">
        <v>384</v>
      </c>
      <c r="P2" s="39" t="s">
        <v>385</v>
      </c>
    </row>
    <row r="3" spans="1:16" x14ac:dyDescent="0.2">
      <c r="A3" s="33" t="s">
        <v>365</v>
      </c>
      <c r="B3" s="34" t="s">
        <v>364</v>
      </c>
      <c r="I3" s="27" t="s">
        <v>12</v>
      </c>
      <c r="J3" s="39">
        <v>13557066</v>
      </c>
      <c r="L3" s="27" t="s">
        <v>41</v>
      </c>
      <c r="M3" s="39">
        <v>284</v>
      </c>
      <c r="O3" s="27" t="s">
        <v>22</v>
      </c>
      <c r="P3" s="39">
        <v>237</v>
      </c>
    </row>
    <row r="4" spans="1:16" x14ac:dyDescent="0.2">
      <c r="A4" s="35" t="s">
        <v>373</v>
      </c>
      <c r="B4" s="34">
        <v>1307843</v>
      </c>
      <c r="I4" s="27" t="s">
        <v>363</v>
      </c>
      <c r="J4" s="39">
        <v>25569819</v>
      </c>
      <c r="L4" s="27" t="s">
        <v>292</v>
      </c>
      <c r="M4" s="39">
        <v>134</v>
      </c>
      <c r="O4" s="27" t="s">
        <v>41</v>
      </c>
      <c r="P4" s="39">
        <v>284</v>
      </c>
    </row>
    <row r="5" spans="1:16" x14ac:dyDescent="0.2">
      <c r="A5" s="35" t="s">
        <v>374</v>
      </c>
      <c r="B5" s="34">
        <v>1633335</v>
      </c>
      <c r="L5" s="27" t="s">
        <v>110</v>
      </c>
      <c r="M5" s="39">
        <v>212</v>
      </c>
      <c r="O5" s="27" t="s">
        <v>292</v>
      </c>
      <c r="P5" s="39">
        <v>134</v>
      </c>
    </row>
    <row r="6" spans="1:16" x14ac:dyDescent="0.2">
      <c r="A6" s="35" t="s">
        <v>372</v>
      </c>
      <c r="B6" s="34">
        <v>2365233</v>
      </c>
      <c r="L6" s="27" t="s">
        <v>182</v>
      </c>
      <c r="M6" s="39">
        <v>157</v>
      </c>
      <c r="O6" s="27" t="s">
        <v>110</v>
      </c>
      <c r="P6" s="39">
        <v>212</v>
      </c>
    </row>
    <row r="7" spans="1:16" x14ac:dyDescent="0.2">
      <c r="A7" s="35" t="s">
        <v>375</v>
      </c>
      <c r="B7" s="34">
        <v>753803</v>
      </c>
      <c r="L7" s="27" t="s">
        <v>205</v>
      </c>
      <c r="M7" s="39">
        <v>137</v>
      </c>
      <c r="O7" s="27" t="s">
        <v>182</v>
      </c>
      <c r="P7" s="39">
        <v>157</v>
      </c>
    </row>
    <row r="8" spans="1:16" x14ac:dyDescent="0.2">
      <c r="A8" s="35" t="s">
        <v>376</v>
      </c>
      <c r="B8" s="34">
        <v>1055773</v>
      </c>
      <c r="I8" s="26" t="s">
        <v>365</v>
      </c>
      <c r="J8" t="s">
        <v>364</v>
      </c>
      <c r="L8" s="27" t="s">
        <v>165</v>
      </c>
      <c r="M8" s="39">
        <v>467</v>
      </c>
      <c r="O8" s="27" t="s">
        <v>205</v>
      </c>
      <c r="P8" s="39">
        <v>137</v>
      </c>
    </row>
    <row r="9" spans="1:16" x14ac:dyDescent="0.2">
      <c r="A9" s="35" t="s">
        <v>377</v>
      </c>
      <c r="B9" s="34">
        <v>2567609</v>
      </c>
      <c r="I9" s="27" t="s">
        <v>229</v>
      </c>
      <c r="J9" s="39">
        <v>3325044</v>
      </c>
      <c r="L9" s="27" t="s">
        <v>106</v>
      </c>
      <c r="M9" s="39">
        <v>247</v>
      </c>
      <c r="O9" s="27" t="s">
        <v>165</v>
      </c>
      <c r="P9" s="39">
        <v>467</v>
      </c>
    </row>
    <row r="10" spans="1:16" x14ac:dyDescent="0.2">
      <c r="A10" s="35" t="s">
        <v>378</v>
      </c>
      <c r="B10" s="34">
        <v>1688568</v>
      </c>
      <c r="I10" s="27" t="s">
        <v>16</v>
      </c>
      <c r="J10" s="39">
        <v>2921225</v>
      </c>
      <c r="L10" s="27" t="s">
        <v>363</v>
      </c>
      <c r="M10" s="39">
        <v>1875</v>
      </c>
      <c r="O10" s="27" t="s">
        <v>106</v>
      </c>
      <c r="P10" s="39">
        <v>247</v>
      </c>
    </row>
    <row r="11" spans="1:16" x14ac:dyDescent="0.2">
      <c r="A11" s="35" t="s">
        <v>379</v>
      </c>
      <c r="B11" s="34">
        <v>3015517</v>
      </c>
      <c r="I11" s="27" t="s">
        <v>220</v>
      </c>
      <c r="J11" s="39">
        <v>2890723</v>
      </c>
    </row>
    <row r="12" spans="1:16" x14ac:dyDescent="0.2">
      <c r="A12" s="35" t="s">
        <v>380</v>
      </c>
      <c r="B12" s="34">
        <v>3272400</v>
      </c>
      <c r="I12" s="27" t="s">
        <v>88</v>
      </c>
      <c r="J12" s="39">
        <v>2304693</v>
      </c>
    </row>
    <row r="13" spans="1:16" x14ac:dyDescent="0.2">
      <c r="A13" s="35" t="s">
        <v>381</v>
      </c>
      <c r="B13" s="34">
        <v>1922375</v>
      </c>
      <c r="I13" s="27" t="s">
        <v>197</v>
      </c>
      <c r="J13" s="39">
        <v>1989375</v>
      </c>
    </row>
    <row r="14" spans="1:16" x14ac:dyDescent="0.2">
      <c r="A14" s="35" t="s">
        <v>382</v>
      </c>
      <c r="B14" s="34">
        <v>2326028</v>
      </c>
      <c r="I14" s="27" t="s">
        <v>191</v>
      </c>
      <c r="J14" s="39">
        <v>1988223</v>
      </c>
    </row>
    <row r="15" spans="1:16" x14ac:dyDescent="0.2">
      <c r="A15" s="35" t="s">
        <v>383</v>
      </c>
      <c r="B15" s="34">
        <v>3661335</v>
      </c>
      <c r="I15" s="27" t="s">
        <v>99</v>
      </c>
      <c r="J15" s="39">
        <v>1805653</v>
      </c>
    </row>
    <row r="16" spans="1:16" x14ac:dyDescent="0.2">
      <c r="A16" s="35" t="s">
        <v>363</v>
      </c>
      <c r="B16" s="34">
        <v>25569819</v>
      </c>
      <c r="I16" s="27" t="s">
        <v>125</v>
      </c>
      <c r="J16" s="39">
        <v>1605258</v>
      </c>
    </row>
    <row r="17" spans="9:10" x14ac:dyDescent="0.2">
      <c r="I17" s="27" t="s">
        <v>247</v>
      </c>
      <c r="J17" s="39">
        <v>1504929</v>
      </c>
    </row>
    <row r="18" spans="9:10" x14ac:dyDescent="0.2">
      <c r="I18" s="27" t="s">
        <v>122</v>
      </c>
      <c r="J18" s="39">
        <v>1456575</v>
      </c>
    </row>
    <row r="19" spans="9:10" x14ac:dyDescent="0.2">
      <c r="I19" s="27" t="s">
        <v>80</v>
      </c>
      <c r="J19" s="39">
        <v>1242730</v>
      </c>
    </row>
    <row r="20" spans="9:10" x14ac:dyDescent="0.2">
      <c r="I20" s="27" t="s">
        <v>264</v>
      </c>
      <c r="J20" s="39">
        <v>1030457</v>
      </c>
    </row>
    <row r="21" spans="9:10" x14ac:dyDescent="0.2">
      <c r="I21" s="27" t="s">
        <v>143</v>
      </c>
      <c r="J21" s="39">
        <v>1008179</v>
      </c>
    </row>
    <row r="22" spans="9:10" x14ac:dyDescent="0.2">
      <c r="I22" s="27" t="s">
        <v>254</v>
      </c>
      <c r="J22" s="39">
        <v>496755</v>
      </c>
    </row>
    <row r="23" spans="9:10" x14ac:dyDescent="0.2">
      <c r="I23" s="27" t="s">
        <v>363</v>
      </c>
      <c r="J23" s="39">
        <v>25569819</v>
      </c>
    </row>
  </sheetData>
  <pageMargins left="0.7" right="0.7" top="0.75" bottom="0.75" header="0.3" footer="0.3"/>
  <drawing r:id="rId5"/>
  <tableParts count="1">
    <tablePart r:id="rId6"/>
  </tableParts>
  <extLst>
    <ext xmlns:x14="http://schemas.microsoft.com/office/spreadsheetml/2009/9/main" uri="{A8765BA9-456A-4dab-B4F3-ACF838C121DE}">
      <x14:slicerList>
        <x14:slicer r:id="rId7"/>
      </x14:slicerList>
    </ext>
    <ext xmlns:x15="http://schemas.microsoft.com/office/spreadsheetml/2010/11/main" uri="{3A4CF648-6AED-40f4-86FF-DC5316D8AED3}">
      <x14:slicerList xmlns:x14="http://schemas.microsoft.com/office/spreadsheetml/2009/9/main">
        <x14:slicer r:id="rId8"/>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
  <sheetViews>
    <sheetView tabSelected="1" zoomScale="90" zoomScaleNormal="100" workbookViewId="0">
      <selection activeCell="AJ26" sqref="AJ26"/>
    </sheetView>
  </sheetViews>
  <sheetFormatPr baseColWidth="10" defaultColWidth="9" defaultRowHeight="15" x14ac:dyDescent="0.2"/>
  <cols>
    <col min="1" max="16384" width="9" style="28"/>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Raw Data</vt:lpstr>
      <vt:lpstr>Clean Data</vt:lpstr>
      <vt:lpstr>Calculation</vt:lpstr>
      <vt:lpstr>KPI_pivot</vt:lpstr>
      <vt:lpstr>pivot_dash</vt:lpstr>
      <vt:lpstr>Dashboard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Ashu Dhiman</cp:lastModifiedBy>
  <cp:revision/>
  <dcterms:created xsi:type="dcterms:W3CDTF">2025-10-07T07:42:25Z</dcterms:created>
  <dcterms:modified xsi:type="dcterms:W3CDTF">2025-11-27T10:24:20Z</dcterms:modified>
  <cp:category/>
  <cp:contentStatus/>
</cp:coreProperties>
</file>